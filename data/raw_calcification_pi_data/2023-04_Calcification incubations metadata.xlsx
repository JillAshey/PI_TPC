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<sst xmlns="http://schemas.openxmlformats.org/spreadsheetml/2006/main" count="96" uniqueCount="34">
  <si>
    <t>Date</t>
  </si>
  <si>
    <t>Colony ID</t>
  </si>
  <si>
    <t>Run #</t>
  </si>
  <si>
    <t>Chamber</t>
  </si>
  <si>
    <t>Well</t>
  </si>
  <si>
    <t>Volume coral (mL)</t>
  </si>
  <si>
    <t>Volume chamber (mL)</t>
  </si>
  <si>
    <t>Total volume (mL)</t>
  </si>
  <si>
    <t>Time start</t>
  </si>
  <si>
    <t>Time end</t>
  </si>
  <si>
    <t>Total duration</t>
  </si>
  <si>
    <t>Total duration (minutes)</t>
  </si>
  <si>
    <t>Total duration (hours)</t>
  </si>
  <si>
    <t>Mean temperature</t>
  </si>
  <si>
    <t>Notes</t>
  </si>
  <si>
    <t>Initial</t>
  </si>
  <si>
    <t>na</t>
  </si>
  <si>
    <t>start temp 23.5 (ysi)</t>
  </si>
  <si>
    <t>logger</t>
  </si>
  <si>
    <t>Blank1</t>
  </si>
  <si>
    <t>start temp 23.5 (but ambient water line 24.6)</t>
  </si>
  <si>
    <t>bucket was at 22.2 so adjusted to 23.5</t>
  </si>
  <si>
    <t>Logger</t>
  </si>
  <si>
    <t>Blank2</t>
  </si>
  <si>
    <t>ambient 24.9C</t>
  </si>
  <si>
    <t>chambers added 23.6C water</t>
  </si>
  <si>
    <t>Blank3</t>
  </si>
  <si>
    <t>logger added partway through run (was in chamber from run 2)</t>
  </si>
  <si>
    <t>Blank4</t>
  </si>
  <si>
    <t>logger added partway through run (was in chamber from run 3)</t>
  </si>
  <si>
    <t>chambers added 23.5C water</t>
  </si>
  <si>
    <t>ambient in tank was 24.9 at 13:00</t>
  </si>
  <si>
    <t>GO BACK AND MEASURE REMAINING WATER</t>
  </si>
  <si>
    <t>Blank5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</si>
</sst>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color theme="7"/>
      <name val="Arial"/>
      <scheme val="minor"/>
    </font>
    <font>
      <b/>
      <color theme="5"/>
      <name val="Arial"/>
      <scheme val="minor"/>
    </font>
    <font>
      <b/>
      <color rgb="FFEA4335"/>
      <name val="Arial"/>
      <scheme val="minor"/>
    </font>
    <font>
      <color rgb="FFFF0000"/>
      <name val="Arial"/>
      <scheme val="minor"/>
    </font>
    <font>
      <color rgb="FF000000"/>
      <name val="Arial"/>
    </font>
    <font>
      <b/>
      <color rgb="FF34A85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3" numFmtId="2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0" fillId="0" fontId="5" numFmtId="20" xfId="0" applyAlignment="1" applyFont="1" applyNumberFormat="1">
      <alignment readingOrder="0"/>
    </xf>
    <xf borderId="1" fillId="0" fontId="4" numFmtId="16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6" numFmtId="20" xfId="0" applyAlignment="1" applyBorder="1" applyFont="1" applyNumberFormat="1">
      <alignment readingOrder="0"/>
    </xf>
    <xf borderId="1" fillId="0" fontId="2" numFmtId="20" xfId="0" applyAlignment="1" applyBorder="1" applyFont="1" applyNumberFormat="1">
      <alignment readingOrder="0"/>
    </xf>
    <xf borderId="1" fillId="0" fontId="2" numFmtId="20" xfId="0" applyBorder="1" applyFont="1" applyNumberFormat="1"/>
    <xf borderId="1" fillId="0" fontId="2" numFmtId="2" xfId="0" applyAlignment="1" applyBorder="1" applyFont="1" applyNumberFormat="1">
      <alignment readingOrder="0"/>
    </xf>
    <xf borderId="1" fillId="0" fontId="7" numFmtId="20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1" fillId="2" fontId="2" numFmtId="20" xfId="0" applyAlignment="1" applyBorder="1" applyFill="1" applyFont="1" applyNumberFormat="1">
      <alignment readingOrder="0"/>
    </xf>
    <xf borderId="0" fillId="3" fontId="9" numFmtId="2" xfId="0" applyAlignment="1" applyFill="1" applyFont="1" applyNumberFormat="1">
      <alignment horizontal="right" readingOrder="0"/>
    </xf>
    <xf borderId="0" fillId="0" fontId="10" numFmtId="20" xfId="0" applyAlignment="1" applyFont="1" applyNumberFormat="1">
      <alignment readingOrder="0"/>
    </xf>
    <xf borderId="0" fillId="2" fontId="2" numFmtId="20" xfId="0" applyAlignment="1" applyFont="1" applyNumberFormat="1">
      <alignment readingOrder="0"/>
    </xf>
    <xf borderId="1" fillId="3" fontId="9" numFmtId="2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9.38"/>
    <col customWidth="1" min="3" max="3" width="6.5"/>
    <col customWidth="1" min="4" max="4" width="8.88"/>
    <col customWidth="1" min="5" max="5" width="5.88"/>
    <col customWidth="1" min="6" max="6" width="9.5"/>
    <col customWidth="1" min="7" max="7" width="12.38"/>
    <col customWidth="1" min="8" max="8" width="11.38"/>
    <col customWidth="1" min="9" max="9" width="8.75"/>
    <col customWidth="1" min="10" max="10" width="9.25"/>
    <col customWidth="1" min="11" max="11" width="12.0"/>
    <col customWidth="1" min="12" max="14" width="15.5"/>
    <col customWidth="1" min="15" max="15" width="1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4" t="s">
        <v>13</v>
      </c>
      <c r="O1" s="2" t="s">
        <v>14</v>
      </c>
      <c r="P1" s="2"/>
      <c r="Q1" s="2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45031.0</v>
      </c>
      <c r="B2" s="8" t="s">
        <v>15</v>
      </c>
      <c r="C2" s="8">
        <v>1.0</v>
      </c>
      <c r="D2" s="9" t="s">
        <v>16</v>
      </c>
      <c r="E2" s="9" t="s">
        <v>16</v>
      </c>
      <c r="F2" s="9" t="s">
        <v>16</v>
      </c>
      <c r="G2" s="9" t="s">
        <v>16</v>
      </c>
      <c r="H2" s="9" t="s">
        <v>16</v>
      </c>
      <c r="I2" s="9" t="s">
        <v>16</v>
      </c>
      <c r="J2" s="9" t="s">
        <v>16</v>
      </c>
      <c r="K2" s="9" t="s">
        <v>16</v>
      </c>
      <c r="L2" s="10"/>
      <c r="M2" s="10"/>
      <c r="N2" s="10"/>
    </row>
    <row r="3">
      <c r="A3" s="7">
        <v>45031.0</v>
      </c>
      <c r="B3" s="8" t="s">
        <v>15</v>
      </c>
      <c r="C3" s="8">
        <v>2.0</v>
      </c>
      <c r="D3" s="9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16</v>
      </c>
      <c r="K3" s="9" t="s">
        <v>16</v>
      </c>
      <c r="L3" s="10"/>
      <c r="M3" s="10"/>
      <c r="N3" s="10"/>
    </row>
    <row r="4">
      <c r="A4" s="7">
        <v>45031.0</v>
      </c>
      <c r="B4" s="8" t="s">
        <v>15</v>
      </c>
      <c r="C4" s="8">
        <v>3.0</v>
      </c>
      <c r="D4" s="9" t="s">
        <v>16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10"/>
      <c r="M4" s="10"/>
      <c r="N4" s="10"/>
    </row>
    <row r="5">
      <c r="A5" s="7">
        <v>45031.0</v>
      </c>
      <c r="B5" s="8" t="s">
        <v>15</v>
      </c>
      <c r="C5" s="8">
        <v>4.0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  <c r="L5" s="11"/>
      <c r="M5" s="11"/>
      <c r="N5" s="11"/>
      <c r="O5" s="9"/>
    </row>
    <row r="6">
      <c r="A6" s="7">
        <v>45031.0</v>
      </c>
      <c r="B6" s="8" t="s">
        <v>15</v>
      </c>
      <c r="C6" s="8">
        <v>5.0</v>
      </c>
      <c r="D6" s="9" t="s">
        <v>16</v>
      </c>
      <c r="E6" s="9" t="s">
        <v>16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9" t="s">
        <v>16</v>
      </c>
      <c r="L6" s="11"/>
      <c r="M6" s="11"/>
      <c r="N6" s="11"/>
      <c r="O6" s="9"/>
    </row>
    <row r="7">
      <c r="A7" s="7">
        <v>45031.0</v>
      </c>
      <c r="B7" s="12">
        <v>29.0</v>
      </c>
      <c r="C7" s="8">
        <v>1.0</v>
      </c>
      <c r="D7" s="9">
        <v>1.0</v>
      </c>
      <c r="E7" s="9">
        <v>1.0</v>
      </c>
      <c r="F7" s="9">
        <v>7.0</v>
      </c>
      <c r="G7" s="13">
        <f>49+50+29+49+45+2</f>
        <v>224</v>
      </c>
      <c r="H7" s="13">
        <f t="shared" ref="H7:H10" si="1">G7-F7</f>
        <v>217</v>
      </c>
      <c r="I7" s="14">
        <v>0.39444444444444443</v>
      </c>
      <c r="J7" s="14">
        <v>0.4479166666666667</v>
      </c>
      <c r="K7" s="15">
        <f t="shared" ref="K7:K10" si="2">J7-I7</f>
        <v>0.05347222222</v>
      </c>
      <c r="L7" s="11">
        <f>60+17</f>
        <v>77</v>
      </c>
      <c r="M7" s="11">
        <f t="shared" ref="M7:M72" si="3">L7/60</f>
        <v>1.283333333</v>
      </c>
      <c r="N7" s="11">
        <v>25.41461</v>
      </c>
      <c r="O7" s="9" t="s">
        <v>17</v>
      </c>
    </row>
    <row r="8">
      <c r="A8" s="7">
        <v>45031.0</v>
      </c>
      <c r="B8" s="12">
        <v>2.0</v>
      </c>
      <c r="C8" s="8">
        <v>1.0</v>
      </c>
      <c r="D8" s="9">
        <v>1.0</v>
      </c>
      <c r="E8" s="9">
        <v>2.0</v>
      </c>
      <c r="F8" s="9">
        <v>2.0</v>
      </c>
      <c r="G8" s="9">
        <f>48+50+49+49+32</f>
        <v>228</v>
      </c>
      <c r="H8" s="13">
        <f t="shared" si="1"/>
        <v>226</v>
      </c>
      <c r="I8" s="14">
        <v>0.39444444444444443</v>
      </c>
      <c r="J8" s="14">
        <v>0.45208333333333334</v>
      </c>
      <c r="K8" s="15">
        <f t="shared" si="2"/>
        <v>0.05763888889</v>
      </c>
      <c r="L8" s="11">
        <f>60+23</f>
        <v>83</v>
      </c>
      <c r="M8" s="11">
        <f t="shared" si="3"/>
        <v>1.383333333</v>
      </c>
      <c r="N8" s="11">
        <v>25.41461</v>
      </c>
    </row>
    <row r="9">
      <c r="A9" s="7">
        <v>45031.0</v>
      </c>
      <c r="B9" s="12">
        <v>1.0</v>
      </c>
      <c r="C9" s="8">
        <v>1.0</v>
      </c>
      <c r="D9" s="9">
        <v>1.0</v>
      </c>
      <c r="E9" s="9">
        <v>4.0</v>
      </c>
      <c r="F9" s="9">
        <v>6.0</v>
      </c>
      <c r="G9" s="13">
        <f>50+50+15+50+43+11</f>
        <v>219</v>
      </c>
      <c r="H9" s="13">
        <f t="shared" si="1"/>
        <v>213</v>
      </c>
      <c r="I9" s="16">
        <v>0.39166666666666666</v>
      </c>
      <c r="J9" s="14">
        <v>0.44027777777777777</v>
      </c>
      <c r="K9" s="15">
        <f t="shared" si="2"/>
        <v>0.04861111111</v>
      </c>
      <c r="L9" s="11">
        <f>60+10</f>
        <v>70</v>
      </c>
      <c r="M9" s="11">
        <f t="shared" si="3"/>
        <v>1.166666667</v>
      </c>
      <c r="N9" s="11">
        <v>25.41461</v>
      </c>
    </row>
    <row r="10">
      <c r="A10" s="7">
        <v>45031.0</v>
      </c>
      <c r="B10" s="12">
        <v>3.0</v>
      </c>
      <c r="C10" s="8">
        <v>1.0</v>
      </c>
      <c r="D10" s="9">
        <v>1.0</v>
      </c>
      <c r="E10" s="9">
        <v>5.0</v>
      </c>
      <c r="F10" s="9">
        <v>1.5</v>
      </c>
      <c r="G10" s="13">
        <f>50+51+50+50+31</f>
        <v>232</v>
      </c>
      <c r="H10" s="13">
        <f t="shared" si="1"/>
        <v>230.5</v>
      </c>
      <c r="I10" s="14">
        <v>0.3951388888888889</v>
      </c>
      <c r="J10" s="14">
        <v>0.45555555555555555</v>
      </c>
      <c r="K10" s="15">
        <f t="shared" si="2"/>
        <v>0.06041666667</v>
      </c>
      <c r="L10" s="11">
        <f>60+27</f>
        <v>87</v>
      </c>
      <c r="M10" s="11">
        <f t="shared" si="3"/>
        <v>1.45</v>
      </c>
      <c r="N10" s="11">
        <v>25.41461</v>
      </c>
    </row>
    <row r="11">
      <c r="A11" s="7">
        <v>45031.0</v>
      </c>
      <c r="B11" s="12" t="s">
        <v>18</v>
      </c>
      <c r="C11" s="8">
        <v>1.0</v>
      </c>
      <c r="D11" s="9">
        <v>1.0</v>
      </c>
      <c r="E11" s="9">
        <v>6.0</v>
      </c>
      <c r="F11" s="9" t="s">
        <v>16</v>
      </c>
      <c r="G11" s="9" t="s">
        <v>16</v>
      </c>
      <c r="H11" s="9" t="s">
        <v>16</v>
      </c>
      <c r="I11" s="14"/>
      <c r="J11" s="14"/>
      <c r="L11" s="11"/>
      <c r="M11" s="11">
        <f t="shared" si="3"/>
        <v>0</v>
      </c>
      <c r="N11" s="11">
        <v>25.41461</v>
      </c>
    </row>
    <row r="12">
      <c r="A12" s="7">
        <v>45031.0</v>
      </c>
      <c r="B12" s="12">
        <v>26.0</v>
      </c>
      <c r="C12" s="8">
        <v>1.0</v>
      </c>
      <c r="D12" s="9">
        <v>1.0</v>
      </c>
      <c r="E12" s="9">
        <v>7.0</v>
      </c>
      <c r="F12" s="9">
        <v>2.5</v>
      </c>
      <c r="G12" s="13">
        <f>47+51+43+50+38</f>
        <v>229</v>
      </c>
      <c r="H12" s="13">
        <f t="shared" ref="H12:H32" si="4">G12-F12</f>
        <v>226.5</v>
      </c>
      <c r="I12" s="14">
        <v>0.39375</v>
      </c>
      <c r="J12" s="14">
        <v>0.4444444444444444</v>
      </c>
      <c r="K12" s="15">
        <f t="shared" ref="K12:K51" si="5">J12-I12</f>
        <v>0.05069444444</v>
      </c>
      <c r="L12" s="11">
        <f>60+13</f>
        <v>73</v>
      </c>
      <c r="M12" s="11">
        <f t="shared" si="3"/>
        <v>1.216666667</v>
      </c>
      <c r="N12" s="11">
        <v>25.41461</v>
      </c>
    </row>
    <row r="13">
      <c r="A13" s="7">
        <v>45031.0</v>
      </c>
      <c r="B13" s="12">
        <v>28.0</v>
      </c>
      <c r="C13" s="8">
        <v>1.0</v>
      </c>
      <c r="D13" s="9">
        <v>1.0</v>
      </c>
      <c r="E13" s="9">
        <v>8.0</v>
      </c>
      <c r="F13" s="9">
        <v>2.0</v>
      </c>
      <c r="G13" s="13">
        <f>46+53+39+49+44</f>
        <v>231</v>
      </c>
      <c r="H13" s="13">
        <f t="shared" si="4"/>
        <v>229</v>
      </c>
      <c r="I13" s="14">
        <v>0.3958333333333333</v>
      </c>
      <c r="J13" s="14">
        <v>0.4576388888888889</v>
      </c>
      <c r="K13" s="15">
        <f t="shared" si="5"/>
        <v>0.06180555556</v>
      </c>
      <c r="L13" s="11">
        <f>60+29</f>
        <v>89</v>
      </c>
      <c r="M13" s="11">
        <f t="shared" si="3"/>
        <v>1.483333333</v>
      </c>
      <c r="N13" s="11">
        <v>25.41461</v>
      </c>
    </row>
    <row r="14">
      <c r="A14" s="7">
        <v>45031.0</v>
      </c>
      <c r="B14" s="8" t="s">
        <v>19</v>
      </c>
      <c r="C14" s="8">
        <v>1.0</v>
      </c>
      <c r="D14" s="9">
        <v>1.0</v>
      </c>
      <c r="E14" s="9">
        <v>9.0</v>
      </c>
      <c r="F14" s="9">
        <v>0.0</v>
      </c>
      <c r="G14" s="13">
        <f>48+50+47+50+43</f>
        <v>238</v>
      </c>
      <c r="H14" s="13">
        <f t="shared" si="4"/>
        <v>238</v>
      </c>
      <c r="I14" s="14">
        <v>0.39791666666666664</v>
      </c>
      <c r="J14" s="14">
        <v>0.4652777777777778</v>
      </c>
      <c r="K14" s="15">
        <f t="shared" si="5"/>
        <v>0.06736111111</v>
      </c>
      <c r="L14" s="11">
        <f>60+37</f>
        <v>97</v>
      </c>
      <c r="M14" s="11">
        <f t="shared" si="3"/>
        <v>1.616666667</v>
      </c>
      <c r="N14" s="11">
        <v>25.41461</v>
      </c>
    </row>
    <row r="15">
      <c r="A15" s="7">
        <v>45031.0</v>
      </c>
      <c r="B15" s="12">
        <v>4.0</v>
      </c>
      <c r="C15" s="8">
        <v>1.0</v>
      </c>
      <c r="D15" s="9">
        <v>1.0</v>
      </c>
      <c r="E15" s="9">
        <v>10.0</v>
      </c>
      <c r="F15" s="9">
        <v>2.0</v>
      </c>
      <c r="G15" s="13">
        <f>50+50+50+50+33</f>
        <v>233</v>
      </c>
      <c r="H15" s="13">
        <f t="shared" si="4"/>
        <v>231</v>
      </c>
      <c r="I15" s="14">
        <v>0.3958333333333333</v>
      </c>
      <c r="J15" s="14">
        <v>0.4597222222222222</v>
      </c>
      <c r="K15" s="15">
        <f t="shared" si="5"/>
        <v>0.06388888889</v>
      </c>
      <c r="L15" s="11">
        <f>60+32</f>
        <v>92</v>
      </c>
      <c r="M15" s="11">
        <f t="shared" si="3"/>
        <v>1.533333333</v>
      </c>
      <c r="N15" s="11">
        <v>25.41461</v>
      </c>
    </row>
    <row r="16">
      <c r="A16" s="17">
        <v>45031.0</v>
      </c>
      <c r="B16" s="18">
        <v>27.0</v>
      </c>
      <c r="C16" s="19">
        <v>1.0</v>
      </c>
      <c r="D16" s="20">
        <v>1.0</v>
      </c>
      <c r="E16" s="20">
        <v>11.0</v>
      </c>
      <c r="F16" s="20">
        <v>2.0</v>
      </c>
      <c r="G16" s="21">
        <f>48+47+48+50+36</f>
        <v>229</v>
      </c>
      <c r="H16" s="21">
        <f t="shared" si="4"/>
        <v>227</v>
      </c>
      <c r="I16" s="22">
        <v>0.3972222222222222</v>
      </c>
      <c r="J16" s="23">
        <v>0.4625</v>
      </c>
      <c r="K16" s="24">
        <f t="shared" si="5"/>
        <v>0.06527777778</v>
      </c>
      <c r="L16" s="25">
        <f>60+34</f>
        <v>94</v>
      </c>
      <c r="M16" s="11">
        <f t="shared" si="3"/>
        <v>1.566666667</v>
      </c>
      <c r="N16" s="25">
        <v>25.41461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>
      <c r="A17" s="7">
        <v>45031.0</v>
      </c>
      <c r="B17" s="12">
        <v>11.0</v>
      </c>
      <c r="C17" s="8">
        <v>1.0</v>
      </c>
      <c r="D17" s="9">
        <v>2.0</v>
      </c>
      <c r="E17" s="9">
        <v>1.0</v>
      </c>
      <c r="F17" s="9">
        <v>1.5</v>
      </c>
      <c r="G17" s="13">
        <f>46+47+50+51+52</f>
        <v>246</v>
      </c>
      <c r="H17" s="13">
        <f t="shared" si="4"/>
        <v>244.5</v>
      </c>
      <c r="I17" s="16">
        <v>0.40208333333333335</v>
      </c>
      <c r="J17" s="14">
        <v>0.46805555555555556</v>
      </c>
      <c r="K17" s="15">
        <f t="shared" si="5"/>
        <v>0.06597222222</v>
      </c>
      <c r="L17" s="11">
        <f>60+35</f>
        <v>95</v>
      </c>
      <c r="M17" s="11">
        <f t="shared" si="3"/>
        <v>1.583333333</v>
      </c>
      <c r="N17" s="11">
        <v>25.60851</v>
      </c>
    </row>
    <row r="18">
      <c r="A18" s="7">
        <v>45031.0</v>
      </c>
      <c r="B18" s="12">
        <v>218.0</v>
      </c>
      <c r="C18" s="8">
        <v>1.0</v>
      </c>
      <c r="D18" s="9">
        <v>2.0</v>
      </c>
      <c r="E18" s="9">
        <v>2.0</v>
      </c>
      <c r="F18" s="9">
        <v>2.0</v>
      </c>
      <c r="G18" s="13">
        <f>50+50+46+50+38</f>
        <v>234</v>
      </c>
      <c r="H18" s="13">
        <f t="shared" si="4"/>
        <v>232</v>
      </c>
      <c r="I18" s="14">
        <v>0.4027777777777778</v>
      </c>
      <c r="J18" s="14">
        <v>0.47152777777777777</v>
      </c>
      <c r="K18" s="15">
        <f t="shared" si="5"/>
        <v>0.06875</v>
      </c>
      <c r="L18" s="11">
        <f>60+39</f>
        <v>99</v>
      </c>
      <c r="M18" s="11">
        <f t="shared" si="3"/>
        <v>1.65</v>
      </c>
      <c r="N18" s="11">
        <v>25.60851</v>
      </c>
    </row>
    <row r="19">
      <c r="A19" s="7">
        <v>45031.0</v>
      </c>
      <c r="B19" s="12">
        <v>44.0</v>
      </c>
      <c r="C19" s="8">
        <v>1.0</v>
      </c>
      <c r="D19" s="9">
        <v>2.0</v>
      </c>
      <c r="E19" s="9">
        <v>3.0</v>
      </c>
      <c r="F19" s="9">
        <v>3.0</v>
      </c>
      <c r="G19" s="13">
        <f>46+43+47+47+45+5</f>
        <v>233</v>
      </c>
      <c r="H19" s="13">
        <f t="shared" si="4"/>
        <v>230</v>
      </c>
      <c r="I19" s="14">
        <v>0.4027777777777778</v>
      </c>
      <c r="J19" s="14">
        <v>0.47430555555555554</v>
      </c>
      <c r="K19" s="15">
        <f t="shared" si="5"/>
        <v>0.07152777778</v>
      </c>
      <c r="L19" s="11">
        <f>60+43</f>
        <v>103</v>
      </c>
      <c r="M19" s="11">
        <f t="shared" si="3"/>
        <v>1.716666667</v>
      </c>
      <c r="N19" s="11">
        <v>25.60851</v>
      </c>
    </row>
    <row r="20">
      <c r="A20" s="7">
        <v>45031.0</v>
      </c>
      <c r="B20" s="12">
        <v>12.0</v>
      </c>
      <c r="C20" s="8">
        <v>1.0</v>
      </c>
      <c r="D20" s="9">
        <v>2.0</v>
      </c>
      <c r="E20" s="9">
        <v>4.0</v>
      </c>
      <c r="F20" s="9">
        <v>2.0</v>
      </c>
      <c r="G20" s="13">
        <f>50+46+50+22+51+27</f>
        <v>246</v>
      </c>
      <c r="H20" s="13">
        <f t="shared" si="4"/>
        <v>244</v>
      </c>
      <c r="I20" s="14">
        <v>0.40347222222222223</v>
      </c>
      <c r="J20" s="14">
        <v>0.4791666666666667</v>
      </c>
      <c r="K20" s="15">
        <f t="shared" si="5"/>
        <v>0.07569444444</v>
      </c>
      <c r="L20" s="11">
        <f>60+49</f>
        <v>109</v>
      </c>
      <c r="M20" s="11">
        <f t="shared" si="3"/>
        <v>1.816666667</v>
      </c>
      <c r="N20" s="11">
        <v>25.60851</v>
      </c>
    </row>
    <row r="21">
      <c r="A21" s="7">
        <v>45031.0</v>
      </c>
      <c r="B21" s="12">
        <v>43.0</v>
      </c>
      <c r="C21" s="8">
        <v>1.0</v>
      </c>
      <c r="D21" s="9">
        <v>2.0</v>
      </c>
      <c r="E21" s="9">
        <v>5.0</v>
      </c>
      <c r="F21" s="9">
        <v>6.0</v>
      </c>
      <c r="G21" s="13">
        <f>50+46+49+50+40</f>
        <v>235</v>
      </c>
      <c r="H21" s="13">
        <f t="shared" si="4"/>
        <v>229</v>
      </c>
      <c r="I21" s="14">
        <v>0.4048611111111111</v>
      </c>
      <c r="J21" s="14">
        <v>0.4826388888888889</v>
      </c>
      <c r="K21" s="15">
        <f t="shared" si="5"/>
        <v>0.07777777778</v>
      </c>
      <c r="L21" s="11">
        <f>60+52</f>
        <v>112</v>
      </c>
      <c r="M21" s="11">
        <f t="shared" si="3"/>
        <v>1.866666667</v>
      </c>
      <c r="N21" s="11">
        <v>25.60851</v>
      </c>
    </row>
    <row r="22">
      <c r="A22" s="7">
        <v>45031.0</v>
      </c>
      <c r="B22" s="12">
        <v>19.0</v>
      </c>
      <c r="C22" s="8">
        <v>1.0</v>
      </c>
      <c r="D22" s="9">
        <v>2.0</v>
      </c>
      <c r="E22" s="9">
        <v>6.0</v>
      </c>
      <c r="F22" s="9">
        <v>2.0</v>
      </c>
      <c r="G22" s="13">
        <f>42+44+45+46+58</f>
        <v>235</v>
      </c>
      <c r="H22" s="13">
        <f t="shared" si="4"/>
        <v>233</v>
      </c>
      <c r="I22" s="14">
        <v>0.40555555555555556</v>
      </c>
      <c r="J22" s="14">
        <v>0.4840277777777778</v>
      </c>
      <c r="K22" s="15">
        <f t="shared" si="5"/>
        <v>0.07847222222</v>
      </c>
      <c r="L22" s="11">
        <f>60+53</f>
        <v>113</v>
      </c>
      <c r="M22" s="11">
        <f t="shared" si="3"/>
        <v>1.883333333</v>
      </c>
      <c r="N22" s="11">
        <v>25.60851</v>
      </c>
    </row>
    <row r="23">
      <c r="A23" s="7">
        <v>45031.0</v>
      </c>
      <c r="B23" s="12">
        <v>15.0</v>
      </c>
      <c r="C23" s="8">
        <v>1.0</v>
      </c>
      <c r="D23" s="9">
        <v>2.0</v>
      </c>
      <c r="E23" s="9">
        <v>7.0</v>
      </c>
      <c r="F23" s="9">
        <v>2.0</v>
      </c>
      <c r="G23" s="13">
        <f>52+49+45+50+46</f>
        <v>242</v>
      </c>
      <c r="H23" s="13">
        <f t="shared" si="4"/>
        <v>240</v>
      </c>
      <c r="I23" s="14">
        <v>0.40625</v>
      </c>
      <c r="J23" s="14">
        <v>0.48680555555555555</v>
      </c>
      <c r="K23" s="15">
        <f t="shared" si="5"/>
        <v>0.08055555556</v>
      </c>
      <c r="L23" s="11">
        <f>60+56</f>
        <v>116</v>
      </c>
      <c r="M23" s="11">
        <f t="shared" si="3"/>
        <v>1.933333333</v>
      </c>
      <c r="N23" s="11">
        <v>25.60851</v>
      </c>
    </row>
    <row r="24">
      <c r="A24" s="7">
        <v>45031.0</v>
      </c>
      <c r="B24" s="12">
        <v>41.0</v>
      </c>
      <c r="C24" s="8">
        <v>1.0</v>
      </c>
      <c r="D24" s="9">
        <v>2.0</v>
      </c>
      <c r="E24" s="9">
        <v>8.0</v>
      </c>
      <c r="F24" s="9">
        <v>2.0</v>
      </c>
      <c r="G24" s="13">
        <f>49+45+50+48+42</f>
        <v>234</v>
      </c>
      <c r="H24" s="13">
        <f t="shared" si="4"/>
        <v>232</v>
      </c>
      <c r="I24" s="14">
        <v>0.40694444444444444</v>
      </c>
      <c r="J24" s="14">
        <v>0.4888888888888889</v>
      </c>
      <c r="K24" s="15">
        <f t="shared" si="5"/>
        <v>0.08194444444</v>
      </c>
      <c r="L24" s="11">
        <f>60+58</f>
        <v>118</v>
      </c>
      <c r="M24" s="11">
        <f t="shared" si="3"/>
        <v>1.966666667</v>
      </c>
      <c r="N24" s="11">
        <v>25.60851</v>
      </c>
    </row>
    <row r="25">
      <c r="A25" s="7">
        <v>45031.0</v>
      </c>
      <c r="B25" s="12">
        <v>42.0</v>
      </c>
      <c r="C25" s="8">
        <v>1.0</v>
      </c>
      <c r="D25" s="9">
        <v>2.0</v>
      </c>
      <c r="E25" s="9">
        <v>9.0</v>
      </c>
      <c r="F25" s="9">
        <v>4.0</v>
      </c>
      <c r="G25" s="13">
        <f>46+53+49+50+37</f>
        <v>235</v>
      </c>
      <c r="H25" s="13">
        <f t="shared" si="4"/>
        <v>231</v>
      </c>
      <c r="I25" s="14">
        <v>0.4076388888888889</v>
      </c>
      <c r="J25" s="14">
        <v>0.49166666666666664</v>
      </c>
      <c r="K25" s="15">
        <f t="shared" si="5"/>
        <v>0.08402777778</v>
      </c>
      <c r="L25" s="11">
        <f>60+60+1</f>
        <v>121</v>
      </c>
      <c r="M25" s="11">
        <f t="shared" si="3"/>
        <v>2.016666667</v>
      </c>
      <c r="N25" s="11">
        <v>25.60851</v>
      </c>
    </row>
    <row r="26">
      <c r="A26" s="7">
        <v>45031.0</v>
      </c>
      <c r="B26" s="12">
        <v>16.0</v>
      </c>
      <c r="C26" s="8">
        <v>1.0</v>
      </c>
      <c r="D26" s="9">
        <v>2.0</v>
      </c>
      <c r="E26" s="9">
        <v>10.0</v>
      </c>
      <c r="F26" s="9">
        <v>2.0</v>
      </c>
      <c r="G26" s="13">
        <f>50+44+49+50+42</f>
        <v>235</v>
      </c>
      <c r="H26" s="13">
        <f t="shared" si="4"/>
        <v>233</v>
      </c>
      <c r="I26" s="14">
        <v>0.4076388888888889</v>
      </c>
      <c r="J26" s="14">
        <v>0.49375</v>
      </c>
      <c r="K26" s="15">
        <f t="shared" si="5"/>
        <v>0.08611111111</v>
      </c>
      <c r="L26" s="11">
        <f>60+60+4</f>
        <v>124</v>
      </c>
      <c r="M26" s="11">
        <f t="shared" si="3"/>
        <v>2.066666667</v>
      </c>
      <c r="N26" s="11">
        <v>25.60851</v>
      </c>
    </row>
    <row r="27">
      <c r="A27" s="7">
        <v>45031.0</v>
      </c>
      <c r="B27" s="12">
        <v>217.0</v>
      </c>
      <c r="C27" s="8">
        <v>1.0</v>
      </c>
      <c r="D27" s="9">
        <v>2.0</v>
      </c>
      <c r="E27" s="9">
        <v>11.0</v>
      </c>
      <c r="F27" s="9">
        <v>2.0</v>
      </c>
      <c r="G27" s="13">
        <f>45+47+45+50+55</f>
        <v>242</v>
      </c>
      <c r="H27" s="13">
        <f t="shared" si="4"/>
        <v>240</v>
      </c>
      <c r="I27" s="14">
        <v>0.4083333333333333</v>
      </c>
      <c r="J27" s="14">
        <v>0.49583333333333335</v>
      </c>
      <c r="K27" s="15">
        <f t="shared" si="5"/>
        <v>0.0875</v>
      </c>
      <c r="L27" s="11">
        <f>60+60+6</f>
        <v>126</v>
      </c>
      <c r="M27" s="11">
        <f t="shared" si="3"/>
        <v>2.1</v>
      </c>
      <c r="N27" s="11">
        <v>25.60851</v>
      </c>
    </row>
    <row r="28">
      <c r="A28" s="17">
        <v>45031.0</v>
      </c>
      <c r="B28" s="18">
        <v>20.0</v>
      </c>
      <c r="C28" s="19">
        <v>1.0</v>
      </c>
      <c r="D28" s="20">
        <v>2.0</v>
      </c>
      <c r="E28" s="20">
        <v>12.0</v>
      </c>
      <c r="F28" s="20">
        <v>2.0</v>
      </c>
      <c r="G28" s="21">
        <f>45+50+41+53+50</f>
        <v>239</v>
      </c>
      <c r="H28" s="21">
        <f t="shared" si="4"/>
        <v>237</v>
      </c>
      <c r="I28" s="26">
        <v>0.40902777777777777</v>
      </c>
      <c r="J28" s="23">
        <v>0.4979166666666667</v>
      </c>
      <c r="K28" s="24">
        <f t="shared" si="5"/>
        <v>0.08888888889</v>
      </c>
      <c r="L28" s="25">
        <f>60+60+8</f>
        <v>128</v>
      </c>
      <c r="M28" s="11">
        <f t="shared" si="3"/>
        <v>2.133333333</v>
      </c>
      <c r="N28" s="25">
        <v>25.60851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>
      <c r="A29" s="7">
        <v>45031.0</v>
      </c>
      <c r="B29" s="12">
        <v>204.0</v>
      </c>
      <c r="C29" s="8">
        <v>2.0</v>
      </c>
      <c r="D29" s="9">
        <v>1.0</v>
      </c>
      <c r="E29" s="9">
        <v>1.0</v>
      </c>
      <c r="F29" s="9">
        <v>3.0</v>
      </c>
      <c r="G29" s="13">
        <f>50+50+52+36+41</f>
        <v>229</v>
      </c>
      <c r="H29" s="13">
        <f t="shared" si="4"/>
        <v>226</v>
      </c>
      <c r="I29" s="16">
        <v>0.5597222222222222</v>
      </c>
      <c r="J29" s="14">
        <v>0.6104166666666667</v>
      </c>
      <c r="K29" s="15">
        <f t="shared" si="5"/>
        <v>0.05069444444</v>
      </c>
      <c r="L29" s="11">
        <f>60+13</f>
        <v>73</v>
      </c>
      <c r="M29" s="11">
        <f t="shared" si="3"/>
        <v>1.216666667</v>
      </c>
      <c r="N29" s="11">
        <v>25.60851</v>
      </c>
    </row>
    <row r="30">
      <c r="A30" s="7">
        <v>45031.0</v>
      </c>
      <c r="B30" s="12">
        <v>45.0</v>
      </c>
      <c r="C30" s="8">
        <v>2.0</v>
      </c>
      <c r="D30" s="9">
        <v>1.0</v>
      </c>
      <c r="E30" s="9">
        <v>2.0</v>
      </c>
      <c r="F30" s="9">
        <v>7.0</v>
      </c>
      <c r="G30" s="13">
        <f>45+48+49+46+35</f>
        <v>223</v>
      </c>
      <c r="H30" s="13">
        <f t="shared" si="4"/>
        <v>216</v>
      </c>
      <c r="I30" s="14">
        <v>0.5604166666666667</v>
      </c>
      <c r="J30" s="14">
        <v>0.6152777777777778</v>
      </c>
      <c r="K30" s="15">
        <f t="shared" si="5"/>
        <v>0.05486111111</v>
      </c>
      <c r="L30" s="11">
        <f>60+19</f>
        <v>79</v>
      </c>
      <c r="M30" s="11">
        <f t="shared" si="3"/>
        <v>1.316666667</v>
      </c>
      <c r="N30" s="11">
        <v>25.60851</v>
      </c>
      <c r="O30" s="9" t="s">
        <v>20</v>
      </c>
    </row>
    <row r="31">
      <c r="A31" s="7">
        <v>45031.0</v>
      </c>
      <c r="B31" s="12">
        <v>206.0</v>
      </c>
      <c r="C31" s="8">
        <v>2.0</v>
      </c>
      <c r="D31" s="9">
        <v>1.0</v>
      </c>
      <c r="E31" s="9">
        <v>3.0</v>
      </c>
      <c r="F31" s="9">
        <v>4.0</v>
      </c>
      <c r="G31" s="13">
        <f>42+50+47+46+45</f>
        <v>230</v>
      </c>
      <c r="H31" s="13">
        <f t="shared" si="4"/>
        <v>226</v>
      </c>
      <c r="I31" s="14">
        <v>0.5611111111111111</v>
      </c>
      <c r="J31" s="14">
        <v>0.6173611111111111</v>
      </c>
      <c r="K31" s="15">
        <f t="shared" si="5"/>
        <v>0.05625</v>
      </c>
      <c r="L31" s="11">
        <f>60+21</f>
        <v>81</v>
      </c>
      <c r="M31" s="11">
        <f t="shared" si="3"/>
        <v>1.35</v>
      </c>
      <c r="N31" s="11">
        <v>25.60851</v>
      </c>
      <c r="O31" s="9" t="s">
        <v>21</v>
      </c>
    </row>
    <row r="32">
      <c r="A32" s="7">
        <v>45031.0</v>
      </c>
      <c r="B32" s="12">
        <v>202.0</v>
      </c>
      <c r="C32" s="8">
        <v>2.0</v>
      </c>
      <c r="D32" s="9">
        <v>1.0</v>
      </c>
      <c r="E32" s="9">
        <v>4.0</v>
      </c>
      <c r="F32" s="9">
        <v>3.0</v>
      </c>
      <c r="G32" s="13">
        <f>50+45+48+47+41</f>
        <v>231</v>
      </c>
      <c r="H32" s="13">
        <f t="shared" si="4"/>
        <v>228</v>
      </c>
      <c r="I32" s="14">
        <v>0.5611111111111111</v>
      </c>
      <c r="J32" s="14">
        <v>0.6194444444444445</v>
      </c>
      <c r="K32" s="15">
        <f t="shared" si="5"/>
        <v>0.05833333333</v>
      </c>
      <c r="L32" s="11">
        <f>60+24</f>
        <v>84</v>
      </c>
      <c r="M32" s="11">
        <f t="shared" si="3"/>
        <v>1.4</v>
      </c>
      <c r="N32" s="11">
        <v>25.60851</v>
      </c>
    </row>
    <row r="33">
      <c r="A33" s="7">
        <v>45031.0</v>
      </c>
      <c r="B33" s="9" t="s">
        <v>22</v>
      </c>
      <c r="C33" s="8">
        <v>2.0</v>
      </c>
      <c r="D33" s="9">
        <v>1.0</v>
      </c>
      <c r="E33" s="9">
        <v>5.0</v>
      </c>
      <c r="F33" s="9" t="s">
        <v>16</v>
      </c>
      <c r="G33" s="9" t="s">
        <v>16</v>
      </c>
      <c r="H33" s="9" t="s">
        <v>16</v>
      </c>
      <c r="I33" s="14">
        <v>0.5597222222222222</v>
      </c>
      <c r="J33" s="14">
        <v>0.6340277777777777</v>
      </c>
      <c r="K33" s="15">
        <f t="shared" si="5"/>
        <v>0.07430555556</v>
      </c>
      <c r="L33" s="11">
        <f>60+47</f>
        <v>107</v>
      </c>
      <c r="M33" s="11">
        <f t="shared" si="3"/>
        <v>1.783333333</v>
      </c>
      <c r="N33" s="11">
        <v>25.60851</v>
      </c>
    </row>
    <row r="34">
      <c r="A34" s="7">
        <v>45031.0</v>
      </c>
      <c r="B34" s="12">
        <v>207.0</v>
      </c>
      <c r="C34" s="8">
        <v>2.0</v>
      </c>
      <c r="D34" s="9">
        <v>1.0</v>
      </c>
      <c r="E34" s="9">
        <v>6.0</v>
      </c>
      <c r="F34" s="9">
        <v>2.0</v>
      </c>
      <c r="G34" s="13">
        <f>44+52+49+54+25</f>
        <v>224</v>
      </c>
      <c r="H34" s="13">
        <f t="shared" ref="H34:H51" si="6">G34-F34</f>
        <v>222</v>
      </c>
      <c r="I34" s="14">
        <v>0.5625</v>
      </c>
      <c r="J34" s="14">
        <v>0.6222222222222222</v>
      </c>
      <c r="K34" s="15">
        <f t="shared" si="5"/>
        <v>0.05972222222</v>
      </c>
      <c r="L34" s="11">
        <f>60+26</f>
        <v>86</v>
      </c>
      <c r="M34" s="11">
        <f t="shared" si="3"/>
        <v>1.433333333</v>
      </c>
      <c r="N34" s="11">
        <v>25.60851</v>
      </c>
    </row>
    <row r="35">
      <c r="A35" s="7">
        <v>45031.0</v>
      </c>
      <c r="B35" s="12">
        <v>201.0</v>
      </c>
      <c r="C35" s="8">
        <v>2.0</v>
      </c>
      <c r="D35" s="9">
        <v>1.0</v>
      </c>
      <c r="E35" s="9">
        <v>7.0</v>
      </c>
      <c r="F35" s="9">
        <v>3.0</v>
      </c>
      <c r="G35" s="13">
        <f>45+49+45+50+39</f>
        <v>228</v>
      </c>
      <c r="H35" s="13">
        <f t="shared" si="6"/>
        <v>225</v>
      </c>
      <c r="I35" s="14">
        <v>0.5625</v>
      </c>
      <c r="J35" s="14">
        <v>0.625</v>
      </c>
      <c r="K35" s="15">
        <f t="shared" si="5"/>
        <v>0.0625</v>
      </c>
      <c r="L35" s="11">
        <f>60+30</f>
        <v>90</v>
      </c>
      <c r="M35" s="11">
        <f t="shared" si="3"/>
        <v>1.5</v>
      </c>
      <c r="N35" s="11">
        <v>25.60851</v>
      </c>
    </row>
    <row r="36">
      <c r="A36" s="7">
        <v>45031.0</v>
      </c>
      <c r="B36" s="12">
        <v>203.0</v>
      </c>
      <c r="C36" s="8">
        <v>2.0</v>
      </c>
      <c r="D36" s="9">
        <v>1.0</v>
      </c>
      <c r="E36" s="9">
        <v>8.0</v>
      </c>
      <c r="F36" s="9">
        <v>4.0</v>
      </c>
      <c r="G36" s="13">
        <f>45+47+50+50+42</f>
        <v>234</v>
      </c>
      <c r="H36" s="13">
        <f t="shared" si="6"/>
        <v>230</v>
      </c>
      <c r="I36" s="14">
        <v>0.5625</v>
      </c>
      <c r="J36" s="14">
        <v>0.6270833333333333</v>
      </c>
      <c r="K36" s="15">
        <f t="shared" si="5"/>
        <v>0.06458333333</v>
      </c>
      <c r="L36" s="11">
        <f>60+33</f>
        <v>93</v>
      </c>
      <c r="M36" s="11">
        <f t="shared" si="3"/>
        <v>1.55</v>
      </c>
      <c r="N36" s="11">
        <v>25.60851</v>
      </c>
    </row>
    <row r="37">
      <c r="A37" s="7">
        <v>45031.0</v>
      </c>
      <c r="B37" s="12">
        <v>46.0</v>
      </c>
      <c r="C37" s="8">
        <v>2.0</v>
      </c>
      <c r="D37" s="9">
        <v>1.0</v>
      </c>
      <c r="E37" s="9">
        <v>9.0</v>
      </c>
      <c r="F37" s="9">
        <v>7.0</v>
      </c>
      <c r="G37" s="13">
        <f>46+47+47+50+42</f>
        <v>232</v>
      </c>
      <c r="H37" s="13">
        <f t="shared" si="6"/>
        <v>225</v>
      </c>
      <c r="I37" s="14">
        <v>0.5631944444444444</v>
      </c>
      <c r="J37" s="14">
        <v>0.6298611111111111</v>
      </c>
      <c r="K37" s="15">
        <f t="shared" si="5"/>
        <v>0.06666666667</v>
      </c>
      <c r="L37" s="11">
        <f>60+36</f>
        <v>96</v>
      </c>
      <c r="M37" s="11">
        <f t="shared" si="3"/>
        <v>1.6</v>
      </c>
      <c r="N37" s="11">
        <v>25.60851</v>
      </c>
    </row>
    <row r="38">
      <c r="A38" s="7">
        <v>45031.0</v>
      </c>
      <c r="B38" s="12">
        <v>208.0</v>
      </c>
      <c r="C38" s="8">
        <v>2.0</v>
      </c>
      <c r="D38" s="9">
        <v>1.0</v>
      </c>
      <c r="E38" s="9">
        <v>10.0</v>
      </c>
      <c r="F38" s="9">
        <v>3.0</v>
      </c>
      <c r="G38" s="13">
        <f>44+43+48+46+52</f>
        <v>233</v>
      </c>
      <c r="H38" s="13">
        <f t="shared" si="6"/>
        <v>230</v>
      </c>
      <c r="I38" s="14">
        <v>0.5631944444444444</v>
      </c>
      <c r="J38" s="14">
        <v>0.6319444444444444</v>
      </c>
      <c r="K38" s="15">
        <f t="shared" si="5"/>
        <v>0.06875</v>
      </c>
      <c r="L38" s="11">
        <f>60+39</f>
        <v>99</v>
      </c>
      <c r="M38" s="11">
        <f t="shared" si="3"/>
        <v>1.65</v>
      </c>
      <c r="N38" s="11">
        <v>25.60851</v>
      </c>
    </row>
    <row r="39">
      <c r="A39" s="7">
        <v>45031.0</v>
      </c>
      <c r="B39" s="12" t="s">
        <v>23</v>
      </c>
      <c r="C39" s="8">
        <v>2.0</v>
      </c>
      <c r="D39" s="9">
        <v>1.0</v>
      </c>
      <c r="E39" s="9">
        <v>11.0</v>
      </c>
      <c r="F39" s="9">
        <v>0.0</v>
      </c>
      <c r="G39" s="13">
        <f>49+46+47+47+43</f>
        <v>232</v>
      </c>
      <c r="H39" s="13">
        <f t="shared" si="6"/>
        <v>232</v>
      </c>
      <c r="I39" s="14">
        <v>0.5597222222222222</v>
      </c>
      <c r="J39" s="14">
        <v>0.6347222222222222</v>
      </c>
      <c r="K39" s="15">
        <f t="shared" si="5"/>
        <v>0.075</v>
      </c>
      <c r="L39" s="11">
        <f>60+48</f>
        <v>108</v>
      </c>
      <c r="M39" s="11">
        <f t="shared" si="3"/>
        <v>1.8</v>
      </c>
      <c r="N39" s="11">
        <v>25.60851</v>
      </c>
    </row>
    <row r="40">
      <c r="A40" s="17">
        <v>45031.0</v>
      </c>
      <c r="B40" s="18">
        <v>205.0</v>
      </c>
      <c r="C40" s="19">
        <v>2.0</v>
      </c>
      <c r="D40" s="20">
        <v>1.0</v>
      </c>
      <c r="E40" s="20">
        <v>12.0</v>
      </c>
      <c r="F40" s="20">
        <v>4.0</v>
      </c>
      <c r="G40" s="21">
        <f>45+45+46+49+49</f>
        <v>234</v>
      </c>
      <c r="H40" s="21">
        <f t="shared" si="6"/>
        <v>230</v>
      </c>
      <c r="I40" s="22">
        <v>0.5638888888888889</v>
      </c>
      <c r="J40" s="23">
        <v>0.6375</v>
      </c>
      <c r="K40" s="24">
        <f t="shared" si="5"/>
        <v>0.07361111111</v>
      </c>
      <c r="L40" s="25">
        <f>60+46</f>
        <v>106</v>
      </c>
      <c r="M40" s="11">
        <f t="shared" si="3"/>
        <v>1.766666667</v>
      </c>
      <c r="N40" s="25">
        <v>25.60851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>
      <c r="A41" s="7">
        <v>45031.0</v>
      </c>
      <c r="B41" s="12">
        <v>210.0</v>
      </c>
      <c r="C41" s="8">
        <v>3.0</v>
      </c>
      <c r="D41" s="9">
        <v>2.0</v>
      </c>
      <c r="E41" s="9">
        <v>1.0</v>
      </c>
      <c r="F41" s="9">
        <v>3.0</v>
      </c>
      <c r="G41" s="13">
        <f>48+48+45+49+45</f>
        <v>235</v>
      </c>
      <c r="H41" s="13">
        <f t="shared" si="6"/>
        <v>232</v>
      </c>
      <c r="I41" s="16">
        <v>0.6048611111111111</v>
      </c>
      <c r="J41" s="14">
        <v>0.6638888888888889</v>
      </c>
      <c r="K41" s="15">
        <f t="shared" si="5"/>
        <v>0.05902777778</v>
      </c>
      <c r="L41" s="11">
        <f>60+25</f>
        <v>85</v>
      </c>
      <c r="M41" s="11">
        <f t="shared" si="3"/>
        <v>1.416666667</v>
      </c>
      <c r="N41" s="11">
        <v>25.94266</v>
      </c>
      <c r="O41" s="9" t="s">
        <v>24</v>
      </c>
    </row>
    <row r="42">
      <c r="A42" s="7">
        <v>45031.0</v>
      </c>
      <c r="B42" s="12">
        <v>234.0</v>
      </c>
      <c r="C42" s="8">
        <v>3.0</v>
      </c>
      <c r="D42" s="9">
        <v>2.0</v>
      </c>
      <c r="E42" s="9">
        <v>2.0</v>
      </c>
      <c r="F42" s="9">
        <v>9.0</v>
      </c>
      <c r="G42" s="13">
        <f>50+43+49+52+37</f>
        <v>231</v>
      </c>
      <c r="H42" s="13">
        <f t="shared" si="6"/>
        <v>222</v>
      </c>
      <c r="I42" s="14">
        <v>0.6055555555555555</v>
      </c>
      <c r="J42" s="14">
        <v>0.6618055555555555</v>
      </c>
      <c r="K42" s="15">
        <f t="shared" si="5"/>
        <v>0.05625</v>
      </c>
      <c r="L42" s="11">
        <f>60+21</f>
        <v>81</v>
      </c>
      <c r="M42" s="11">
        <f t="shared" si="3"/>
        <v>1.35</v>
      </c>
      <c r="N42" s="11">
        <v>25.94266</v>
      </c>
      <c r="O42" s="9" t="s">
        <v>25</v>
      </c>
    </row>
    <row r="43">
      <c r="A43" s="7">
        <v>45031.0</v>
      </c>
      <c r="B43" s="12">
        <v>235.0</v>
      </c>
      <c r="C43" s="8">
        <v>3.0</v>
      </c>
      <c r="D43" s="9">
        <v>2.0</v>
      </c>
      <c r="E43" s="9">
        <v>3.0</v>
      </c>
      <c r="F43" s="9">
        <v>8.0</v>
      </c>
      <c r="G43" s="13">
        <f>47+53+49+48+35</f>
        <v>232</v>
      </c>
      <c r="H43" s="13">
        <f t="shared" si="6"/>
        <v>224</v>
      </c>
      <c r="I43" s="14">
        <v>0.60625</v>
      </c>
      <c r="J43" s="14">
        <v>0.6597222222222222</v>
      </c>
      <c r="K43" s="15">
        <f t="shared" si="5"/>
        <v>0.05347222222</v>
      </c>
      <c r="L43" s="11">
        <f>60+17</f>
        <v>77</v>
      </c>
      <c r="M43" s="11">
        <f t="shared" si="3"/>
        <v>1.283333333</v>
      </c>
      <c r="N43" s="11">
        <v>25.94266</v>
      </c>
    </row>
    <row r="44">
      <c r="A44" s="7">
        <v>45031.0</v>
      </c>
      <c r="B44" s="12">
        <v>236.0</v>
      </c>
      <c r="C44" s="8">
        <v>3.0</v>
      </c>
      <c r="D44" s="9">
        <v>2.0</v>
      </c>
      <c r="E44" s="9">
        <v>4.0</v>
      </c>
      <c r="F44" s="9">
        <v>5.0</v>
      </c>
      <c r="G44" s="13">
        <f>46+49+46+50+42</f>
        <v>233</v>
      </c>
      <c r="H44" s="13">
        <f t="shared" si="6"/>
        <v>228</v>
      </c>
      <c r="I44" s="14">
        <v>0.60625</v>
      </c>
      <c r="J44" s="14">
        <v>0.6659722222222222</v>
      </c>
      <c r="K44" s="15">
        <f t="shared" si="5"/>
        <v>0.05972222222</v>
      </c>
      <c r="L44" s="11">
        <f>60+26</f>
        <v>86</v>
      </c>
      <c r="M44" s="11">
        <f t="shared" si="3"/>
        <v>1.433333333</v>
      </c>
      <c r="N44" s="11">
        <v>25.94266</v>
      </c>
      <c r="O44" s="27"/>
    </row>
    <row r="45">
      <c r="A45" s="7">
        <v>45031.0</v>
      </c>
      <c r="B45" s="12">
        <v>238.0</v>
      </c>
      <c r="C45" s="8">
        <v>3.0</v>
      </c>
      <c r="D45" s="9">
        <v>2.0</v>
      </c>
      <c r="E45" s="9">
        <v>5.0</v>
      </c>
      <c r="F45" s="9">
        <v>3.0</v>
      </c>
      <c r="G45" s="13">
        <f>48+50+46+50+47</f>
        <v>241</v>
      </c>
      <c r="H45" s="13">
        <f t="shared" si="6"/>
        <v>238</v>
      </c>
      <c r="I45" s="14">
        <v>0.6076388888888888</v>
      </c>
      <c r="J45" s="14">
        <v>0.66875</v>
      </c>
      <c r="K45" s="15">
        <f t="shared" si="5"/>
        <v>0.06111111111</v>
      </c>
      <c r="L45" s="11">
        <f>60+28</f>
        <v>88</v>
      </c>
      <c r="M45" s="11">
        <f t="shared" si="3"/>
        <v>1.466666667</v>
      </c>
      <c r="N45" s="11">
        <v>25.94266</v>
      </c>
    </row>
    <row r="46">
      <c r="A46" s="7">
        <v>45031.0</v>
      </c>
      <c r="B46" s="12">
        <v>233.0</v>
      </c>
      <c r="C46" s="8">
        <v>3.0</v>
      </c>
      <c r="D46" s="9">
        <v>2.0</v>
      </c>
      <c r="E46" s="9">
        <v>6.0</v>
      </c>
      <c r="F46" s="9">
        <v>6.0</v>
      </c>
      <c r="G46" s="13">
        <f>46+49+48+49+43</f>
        <v>235</v>
      </c>
      <c r="H46" s="13">
        <f t="shared" si="6"/>
        <v>229</v>
      </c>
      <c r="I46" s="14">
        <v>0.6069444444444444</v>
      </c>
      <c r="J46" s="14">
        <v>0.6708333333333333</v>
      </c>
      <c r="K46" s="15">
        <f t="shared" si="5"/>
        <v>0.06388888889</v>
      </c>
      <c r="L46" s="11">
        <f t="shared" ref="L46:L47" si="7">60+32</f>
        <v>92</v>
      </c>
      <c r="M46" s="11">
        <f t="shared" si="3"/>
        <v>1.533333333</v>
      </c>
      <c r="N46" s="11">
        <v>25.94266</v>
      </c>
    </row>
    <row r="47">
      <c r="A47" s="7">
        <v>45031.0</v>
      </c>
      <c r="B47" s="12">
        <v>237.0</v>
      </c>
      <c r="C47" s="8">
        <v>3.0</v>
      </c>
      <c r="D47" s="9">
        <v>2.0</v>
      </c>
      <c r="E47" s="9">
        <v>7.0</v>
      </c>
      <c r="F47" s="9">
        <v>3.0</v>
      </c>
      <c r="G47" s="13">
        <f>48+50+46+50+43</f>
        <v>237</v>
      </c>
      <c r="H47" s="13">
        <f t="shared" si="6"/>
        <v>234</v>
      </c>
      <c r="I47" s="14">
        <v>0.6090277777777777</v>
      </c>
      <c r="J47" s="14">
        <v>0.6729166666666667</v>
      </c>
      <c r="K47" s="15">
        <f t="shared" si="5"/>
        <v>0.06388888889</v>
      </c>
      <c r="L47" s="11">
        <f t="shared" si="7"/>
        <v>92</v>
      </c>
      <c r="M47" s="11">
        <f t="shared" si="3"/>
        <v>1.533333333</v>
      </c>
      <c r="N47" s="11">
        <v>25.94266</v>
      </c>
    </row>
    <row r="48">
      <c r="A48" s="7">
        <v>45031.0</v>
      </c>
      <c r="B48" s="12">
        <v>209.0</v>
      </c>
      <c r="C48" s="8">
        <v>3.0</v>
      </c>
      <c r="D48" s="9">
        <v>2.0</v>
      </c>
      <c r="E48" s="9">
        <v>8.0</v>
      </c>
      <c r="F48" s="9">
        <v>4.0</v>
      </c>
      <c r="G48" s="13">
        <f>48+46+48+49+50</f>
        <v>241</v>
      </c>
      <c r="H48" s="13">
        <f t="shared" si="6"/>
        <v>237</v>
      </c>
      <c r="I48" s="14">
        <v>0.6097222222222223</v>
      </c>
      <c r="J48" s="14">
        <v>0.675</v>
      </c>
      <c r="K48" s="15">
        <f t="shared" si="5"/>
        <v>0.06527777778</v>
      </c>
      <c r="L48" s="11">
        <f>60+34</f>
        <v>94</v>
      </c>
      <c r="M48" s="11">
        <f t="shared" si="3"/>
        <v>1.566666667</v>
      </c>
      <c r="N48" s="11">
        <v>25.94266</v>
      </c>
    </row>
    <row r="49">
      <c r="A49" s="7">
        <v>45031.0</v>
      </c>
      <c r="B49" s="8" t="s">
        <v>26</v>
      </c>
      <c r="C49" s="8">
        <v>3.0</v>
      </c>
      <c r="D49" s="9">
        <v>2.0</v>
      </c>
      <c r="E49" s="9">
        <v>9.0</v>
      </c>
      <c r="F49" s="9">
        <v>0.0</v>
      </c>
      <c r="G49" s="13">
        <f>49+50+43+54+46</f>
        <v>242</v>
      </c>
      <c r="H49" s="13">
        <f t="shared" si="6"/>
        <v>242</v>
      </c>
      <c r="I49" s="14">
        <v>0.6090277777777777</v>
      </c>
      <c r="J49" s="14">
        <v>0.6777777777777778</v>
      </c>
      <c r="K49" s="15">
        <f t="shared" si="5"/>
        <v>0.06875</v>
      </c>
      <c r="L49" s="11">
        <f>60+39</f>
        <v>99</v>
      </c>
      <c r="M49" s="11">
        <f t="shared" si="3"/>
        <v>1.65</v>
      </c>
      <c r="N49" s="11">
        <v>25.94266</v>
      </c>
    </row>
    <row r="50">
      <c r="A50" s="7">
        <v>45031.0</v>
      </c>
      <c r="B50" s="12">
        <v>226.0</v>
      </c>
      <c r="C50" s="8">
        <v>3.0</v>
      </c>
      <c r="D50" s="9">
        <v>2.0</v>
      </c>
      <c r="E50" s="9">
        <v>10.0</v>
      </c>
      <c r="F50" s="9">
        <v>6.0</v>
      </c>
      <c r="G50" s="13">
        <f>45+50+41+50+47</f>
        <v>233</v>
      </c>
      <c r="H50" s="13">
        <f t="shared" si="6"/>
        <v>227</v>
      </c>
      <c r="I50" s="14">
        <v>0.6104166666666667</v>
      </c>
      <c r="J50" s="14">
        <v>0.6798611111111111</v>
      </c>
      <c r="K50" s="15">
        <f t="shared" si="5"/>
        <v>0.06944444444</v>
      </c>
      <c r="L50" s="11">
        <f>60+40</f>
        <v>100</v>
      </c>
      <c r="M50" s="11">
        <f t="shared" si="3"/>
        <v>1.666666667</v>
      </c>
      <c r="N50" s="11">
        <v>25.94266</v>
      </c>
    </row>
    <row r="51">
      <c r="A51" s="7">
        <v>45031.0</v>
      </c>
      <c r="B51" s="12">
        <v>225.0</v>
      </c>
      <c r="C51" s="8">
        <v>3.0</v>
      </c>
      <c r="D51" s="9">
        <v>2.0</v>
      </c>
      <c r="E51" s="9">
        <v>11.0</v>
      </c>
      <c r="F51" s="9">
        <v>6.0</v>
      </c>
      <c r="G51" s="13">
        <f>45+51+52+51+37</f>
        <v>236</v>
      </c>
      <c r="H51" s="13">
        <f t="shared" si="6"/>
        <v>230</v>
      </c>
      <c r="I51" s="28">
        <v>0.6111111111111112</v>
      </c>
      <c r="J51" s="14">
        <v>0.6819444444444445</v>
      </c>
      <c r="K51" s="15">
        <f t="shared" si="5"/>
        <v>0.07083333333</v>
      </c>
      <c r="L51" s="11">
        <f>102</f>
        <v>102</v>
      </c>
      <c r="M51" s="11">
        <f t="shared" si="3"/>
        <v>1.7</v>
      </c>
      <c r="N51" s="11">
        <v>25.94266</v>
      </c>
    </row>
    <row r="52">
      <c r="A52" s="17">
        <v>45031.0</v>
      </c>
      <c r="B52" s="20" t="s">
        <v>18</v>
      </c>
      <c r="C52" s="19">
        <v>3.0</v>
      </c>
      <c r="D52" s="20">
        <v>2.0</v>
      </c>
      <c r="E52" s="20">
        <v>12.0</v>
      </c>
      <c r="F52" s="20" t="s">
        <v>16</v>
      </c>
      <c r="G52" s="20" t="s">
        <v>16</v>
      </c>
      <c r="H52" s="20" t="s">
        <v>16</v>
      </c>
      <c r="I52" s="29">
        <v>0.6347222222222222</v>
      </c>
      <c r="J52" s="23">
        <v>0.6798611111111111</v>
      </c>
      <c r="K52" s="21"/>
      <c r="L52" s="25"/>
      <c r="M52" s="11">
        <f t="shared" si="3"/>
        <v>0</v>
      </c>
      <c r="N52" s="25">
        <v>25.94266</v>
      </c>
      <c r="O52" s="20" t="s">
        <v>27</v>
      </c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>
      <c r="A53" s="7">
        <v>45031.0</v>
      </c>
      <c r="B53" s="12">
        <v>211.0</v>
      </c>
      <c r="C53" s="8">
        <v>4.0</v>
      </c>
      <c r="D53" s="9">
        <v>1.0</v>
      </c>
      <c r="E53" s="9">
        <v>11.0</v>
      </c>
      <c r="F53" s="9">
        <v>4.0</v>
      </c>
      <c r="G53" s="13">
        <f>49+51+50+47+41</f>
        <v>238</v>
      </c>
      <c r="H53" s="13">
        <f t="shared" ref="H53:H59" si="8">G53-F53</f>
        <v>234</v>
      </c>
      <c r="I53" s="14">
        <v>0.65625</v>
      </c>
      <c r="J53" s="14">
        <v>0.7180555555555556</v>
      </c>
      <c r="K53" s="15">
        <f t="shared" ref="K53:K72" si="9">J53-I53</f>
        <v>0.06180555556</v>
      </c>
      <c r="L53" s="30">
        <f>60+29</f>
        <v>89</v>
      </c>
      <c r="M53" s="11">
        <f t="shared" si="3"/>
        <v>1.483333333</v>
      </c>
      <c r="N53" s="30">
        <v>25.97872</v>
      </c>
    </row>
    <row r="54">
      <c r="A54" s="7">
        <v>45031.0</v>
      </c>
      <c r="B54" s="12">
        <v>212.0</v>
      </c>
      <c r="C54" s="8">
        <v>4.0</v>
      </c>
      <c r="D54" s="9">
        <v>1.0</v>
      </c>
      <c r="E54" s="9">
        <v>2.0</v>
      </c>
      <c r="F54" s="9">
        <v>3.0</v>
      </c>
      <c r="G54" s="13">
        <f>45+52+40+52+44</f>
        <v>233</v>
      </c>
      <c r="H54" s="13">
        <f t="shared" si="8"/>
        <v>230</v>
      </c>
      <c r="I54" s="14">
        <v>0.6548611111111111</v>
      </c>
      <c r="J54" s="14">
        <v>0.7020833333333333</v>
      </c>
      <c r="K54" s="15">
        <f t="shared" si="9"/>
        <v>0.04722222222</v>
      </c>
      <c r="L54" s="30">
        <f>60+8</f>
        <v>68</v>
      </c>
      <c r="M54" s="11">
        <f t="shared" si="3"/>
        <v>1.133333333</v>
      </c>
      <c r="N54" s="30">
        <v>25.97872</v>
      </c>
      <c r="O54" s="9" t="s">
        <v>25</v>
      </c>
    </row>
    <row r="55">
      <c r="A55" s="7">
        <v>45031.0</v>
      </c>
      <c r="B55" s="12">
        <v>213.0</v>
      </c>
      <c r="C55" s="8">
        <v>4.0</v>
      </c>
      <c r="D55" s="9">
        <v>1.0</v>
      </c>
      <c r="E55" s="9">
        <v>8.0</v>
      </c>
      <c r="F55" s="9">
        <v>4.0</v>
      </c>
      <c r="G55" s="13">
        <f>46+50+48+52+41</f>
        <v>237</v>
      </c>
      <c r="H55" s="13">
        <f t="shared" si="8"/>
        <v>233</v>
      </c>
      <c r="I55" s="14">
        <v>0.6555555555555556</v>
      </c>
      <c r="J55" s="14">
        <v>0.7125</v>
      </c>
      <c r="K55" s="15">
        <f t="shared" si="9"/>
        <v>0.05694444444</v>
      </c>
      <c r="L55" s="30">
        <f>60+22</f>
        <v>82</v>
      </c>
      <c r="M55" s="11">
        <f t="shared" si="3"/>
        <v>1.366666667</v>
      </c>
      <c r="N55" s="30">
        <v>25.97872</v>
      </c>
    </row>
    <row r="56">
      <c r="A56" s="7">
        <v>45031.0</v>
      </c>
      <c r="B56" s="12">
        <v>214.0</v>
      </c>
      <c r="C56" s="8">
        <v>4.0</v>
      </c>
      <c r="D56" s="9">
        <v>1.0</v>
      </c>
      <c r="E56" s="9">
        <v>9.0</v>
      </c>
      <c r="F56" s="9">
        <v>3.0</v>
      </c>
      <c r="G56" s="13">
        <f>48+50+48+47+46</f>
        <v>239</v>
      </c>
      <c r="H56" s="13">
        <f t="shared" si="8"/>
        <v>236</v>
      </c>
      <c r="I56" s="14">
        <v>0.65625</v>
      </c>
      <c r="J56" s="14">
        <v>0.7152777777777778</v>
      </c>
      <c r="K56" s="15">
        <f t="shared" si="9"/>
        <v>0.05902777778</v>
      </c>
      <c r="L56" s="30">
        <f>60+25</f>
        <v>85</v>
      </c>
      <c r="M56" s="11">
        <f t="shared" si="3"/>
        <v>1.416666667</v>
      </c>
      <c r="N56" s="30">
        <v>25.97872</v>
      </c>
      <c r="O56" s="27"/>
    </row>
    <row r="57">
      <c r="A57" s="7">
        <v>45031.0</v>
      </c>
      <c r="B57" s="12">
        <v>239.0</v>
      </c>
      <c r="C57" s="8">
        <v>4.0</v>
      </c>
      <c r="D57" s="9">
        <v>1.0</v>
      </c>
      <c r="E57" s="9">
        <v>5.0</v>
      </c>
      <c r="F57" s="9">
        <v>2.0</v>
      </c>
      <c r="G57" s="13">
        <f>50+48+49+47+40</f>
        <v>234</v>
      </c>
      <c r="H57" s="13">
        <f t="shared" si="8"/>
        <v>232</v>
      </c>
      <c r="I57" s="14">
        <v>0.6555555555555556</v>
      </c>
      <c r="J57" s="14">
        <v>0.7041666666666667</v>
      </c>
      <c r="K57" s="15">
        <f t="shared" si="9"/>
        <v>0.04861111111</v>
      </c>
      <c r="L57" s="30">
        <f>60+10</f>
        <v>70</v>
      </c>
      <c r="M57" s="11">
        <f t="shared" si="3"/>
        <v>1.166666667</v>
      </c>
      <c r="N57" s="30">
        <v>25.97872</v>
      </c>
    </row>
    <row r="58">
      <c r="A58" s="7">
        <v>45031.0</v>
      </c>
      <c r="B58" s="12">
        <v>240.0</v>
      </c>
      <c r="C58" s="8">
        <v>4.0</v>
      </c>
      <c r="D58" s="9">
        <v>1.0</v>
      </c>
      <c r="E58" s="9">
        <v>3.0</v>
      </c>
      <c r="F58" s="9">
        <v>6.0</v>
      </c>
      <c r="G58" s="13">
        <f>47+49+48+49+36</f>
        <v>229</v>
      </c>
      <c r="H58" s="13">
        <f t="shared" si="8"/>
        <v>223</v>
      </c>
      <c r="I58" s="31">
        <v>0.6541666666666667</v>
      </c>
      <c r="J58" s="14">
        <v>0.6993055555555555</v>
      </c>
      <c r="K58" s="15">
        <f t="shared" si="9"/>
        <v>0.04513888889</v>
      </c>
      <c r="L58" s="30">
        <f>60+5</f>
        <v>65</v>
      </c>
      <c r="M58" s="11">
        <f t="shared" si="3"/>
        <v>1.083333333</v>
      </c>
      <c r="N58" s="30">
        <v>25.97872</v>
      </c>
    </row>
    <row r="59">
      <c r="A59" s="7">
        <v>45031.0</v>
      </c>
      <c r="B59" s="12" t="s">
        <v>28</v>
      </c>
      <c r="C59" s="8">
        <v>4.0</v>
      </c>
      <c r="D59" s="9">
        <v>1.0</v>
      </c>
      <c r="E59" s="9">
        <v>7.0</v>
      </c>
      <c r="F59" s="9">
        <v>0.0</v>
      </c>
      <c r="G59" s="13">
        <f>49+48+46+48+44</f>
        <v>235</v>
      </c>
      <c r="H59" s="13">
        <f t="shared" si="8"/>
        <v>235</v>
      </c>
      <c r="I59" s="14">
        <v>0.6569444444444444</v>
      </c>
      <c r="J59" s="14">
        <v>0.7111111111111111</v>
      </c>
      <c r="K59" s="15">
        <f t="shared" si="9"/>
        <v>0.05416666667</v>
      </c>
      <c r="L59" s="30">
        <f>60+18</f>
        <v>78</v>
      </c>
      <c r="M59" s="11">
        <f t="shared" si="3"/>
        <v>1.3</v>
      </c>
      <c r="N59" s="30">
        <v>25.97872</v>
      </c>
    </row>
    <row r="60">
      <c r="A60" s="7">
        <v>45031.0</v>
      </c>
      <c r="B60" s="12" t="s">
        <v>18</v>
      </c>
      <c r="C60" s="8">
        <v>4.0</v>
      </c>
      <c r="D60" s="9">
        <v>1.0</v>
      </c>
      <c r="E60" s="9">
        <v>4.0</v>
      </c>
      <c r="F60" s="9" t="s">
        <v>16</v>
      </c>
      <c r="G60" s="9" t="s">
        <v>16</v>
      </c>
      <c r="H60" s="9" t="s">
        <v>16</v>
      </c>
      <c r="I60" s="32">
        <v>0.6805555555555556</v>
      </c>
      <c r="J60" s="14">
        <v>0.7222222222222222</v>
      </c>
      <c r="K60" s="15">
        <f t="shared" si="9"/>
        <v>0.04166666667</v>
      </c>
      <c r="L60" s="30">
        <v>60.0</v>
      </c>
      <c r="M60" s="11">
        <f t="shared" si="3"/>
        <v>1</v>
      </c>
      <c r="N60" s="30">
        <v>25.97872</v>
      </c>
      <c r="O60" s="9" t="s">
        <v>29</v>
      </c>
    </row>
    <row r="61">
      <c r="A61" s="7">
        <v>45031.0</v>
      </c>
      <c r="B61" s="12">
        <v>241.0</v>
      </c>
      <c r="C61" s="8">
        <v>4.0</v>
      </c>
      <c r="D61" s="9">
        <v>1.0</v>
      </c>
      <c r="E61" s="9">
        <v>6.0</v>
      </c>
      <c r="F61" s="9">
        <v>4.0</v>
      </c>
      <c r="G61" s="13">
        <f>49+50+50+47+35</f>
        <v>231</v>
      </c>
      <c r="H61" s="13">
        <f t="shared" ref="H61:H64" si="10">G61-F61</f>
        <v>227</v>
      </c>
      <c r="I61" s="14">
        <v>0.6555555555555556</v>
      </c>
      <c r="J61" s="14">
        <v>0.7076388888888889</v>
      </c>
      <c r="K61" s="15">
        <f t="shared" si="9"/>
        <v>0.05208333333</v>
      </c>
      <c r="L61" s="30">
        <f>60+15</f>
        <v>75</v>
      </c>
      <c r="M61" s="11">
        <f t="shared" si="3"/>
        <v>1.25</v>
      </c>
      <c r="N61" s="30">
        <v>25.97872</v>
      </c>
    </row>
    <row r="62">
      <c r="A62" s="17">
        <v>45031.0</v>
      </c>
      <c r="B62" s="18">
        <v>242.0</v>
      </c>
      <c r="C62" s="19">
        <v>4.0</v>
      </c>
      <c r="D62" s="20">
        <v>1.0</v>
      </c>
      <c r="E62" s="20">
        <v>12.0</v>
      </c>
      <c r="F62" s="20">
        <v>3.0</v>
      </c>
      <c r="G62" s="21">
        <f>49+50+48+47+38</f>
        <v>232</v>
      </c>
      <c r="H62" s="21">
        <f t="shared" si="10"/>
        <v>229</v>
      </c>
      <c r="I62" s="22">
        <v>0.6569444444444444</v>
      </c>
      <c r="J62" s="23">
        <v>0.7201388888888889</v>
      </c>
      <c r="K62" s="24">
        <f t="shared" si="9"/>
        <v>0.06319444444</v>
      </c>
      <c r="L62" s="33">
        <f>60+31</f>
        <v>91</v>
      </c>
      <c r="M62" s="11">
        <f t="shared" si="3"/>
        <v>1.516666667</v>
      </c>
      <c r="N62" s="33">
        <v>25.97872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>
      <c r="A63" s="7">
        <v>45032.0</v>
      </c>
      <c r="B63" s="12">
        <v>220.0</v>
      </c>
      <c r="C63" s="8">
        <v>5.0</v>
      </c>
      <c r="D63" s="9">
        <v>2.0</v>
      </c>
      <c r="E63" s="9">
        <v>2.0</v>
      </c>
      <c r="F63" s="9">
        <v>4.0</v>
      </c>
      <c r="G63" s="13">
        <f>46+47+47+52+40</f>
        <v>232</v>
      </c>
      <c r="H63" s="13">
        <f t="shared" si="10"/>
        <v>228</v>
      </c>
      <c r="I63" s="31">
        <v>0.5416666666666666</v>
      </c>
      <c r="J63" s="14">
        <v>0.5881944444444445</v>
      </c>
      <c r="K63" s="15">
        <f t="shared" si="9"/>
        <v>0.04652777778</v>
      </c>
      <c r="L63" s="11">
        <f>67</f>
        <v>67</v>
      </c>
      <c r="M63" s="11">
        <f t="shared" si="3"/>
        <v>1.116666667</v>
      </c>
      <c r="N63" s="11">
        <v>25.92974</v>
      </c>
      <c r="O63" s="9" t="s">
        <v>30</v>
      </c>
    </row>
    <row r="64">
      <c r="A64" s="7">
        <v>45032.0</v>
      </c>
      <c r="B64" s="12">
        <v>221.0</v>
      </c>
      <c r="C64" s="8">
        <v>5.0</v>
      </c>
      <c r="D64" s="9">
        <v>2.0</v>
      </c>
      <c r="E64" s="9">
        <v>3.0</v>
      </c>
      <c r="F64" s="9">
        <v>4.0</v>
      </c>
      <c r="G64" s="13">
        <f>44+47+46+48+48</f>
        <v>233</v>
      </c>
      <c r="H64" s="13">
        <f t="shared" si="10"/>
        <v>229</v>
      </c>
      <c r="I64" s="14">
        <v>0.5423611111111111</v>
      </c>
      <c r="J64" s="14">
        <v>0.5902777777777778</v>
      </c>
      <c r="K64" s="15">
        <f t="shared" si="9"/>
        <v>0.04791666667</v>
      </c>
      <c r="L64" s="11">
        <v>69.0</v>
      </c>
      <c r="M64" s="11">
        <f t="shared" si="3"/>
        <v>1.15</v>
      </c>
      <c r="N64" s="11">
        <v>25.92974</v>
      </c>
      <c r="O64" s="9" t="s">
        <v>31</v>
      </c>
    </row>
    <row r="65">
      <c r="A65" s="7">
        <v>45032.0</v>
      </c>
      <c r="B65" s="34" t="s">
        <v>18</v>
      </c>
      <c r="C65" s="34">
        <v>5.0</v>
      </c>
      <c r="D65" s="9">
        <v>2.0</v>
      </c>
      <c r="E65" s="9">
        <v>4.0</v>
      </c>
      <c r="F65" s="9" t="s">
        <v>16</v>
      </c>
      <c r="G65" s="9" t="s">
        <v>16</v>
      </c>
      <c r="H65" s="9" t="s">
        <v>16</v>
      </c>
      <c r="I65" s="14">
        <v>0.5416666666666666</v>
      </c>
      <c r="J65" s="14">
        <v>0.6048611111111111</v>
      </c>
      <c r="K65" s="15">
        <f t="shared" si="9"/>
        <v>0.06319444444</v>
      </c>
      <c r="L65" s="11">
        <v>91.0</v>
      </c>
      <c r="M65" s="11">
        <f t="shared" si="3"/>
        <v>1.516666667</v>
      </c>
      <c r="N65" s="11">
        <v>25.92974</v>
      </c>
      <c r="O65" s="27" t="s">
        <v>32</v>
      </c>
    </row>
    <row r="66">
      <c r="A66" s="7">
        <v>45032.0</v>
      </c>
      <c r="B66" s="12">
        <v>248.0</v>
      </c>
      <c r="C66" s="8">
        <v>5.0</v>
      </c>
      <c r="D66" s="9">
        <v>2.0</v>
      </c>
      <c r="E66" s="9">
        <v>5.0</v>
      </c>
      <c r="F66" s="9">
        <v>7.0</v>
      </c>
      <c r="G66" s="13">
        <f>48+46+45+52+48</f>
        <v>239</v>
      </c>
      <c r="H66" s="13">
        <f t="shared" ref="H66:H72" si="11">G66-F66</f>
        <v>232</v>
      </c>
      <c r="I66" s="14">
        <v>0.5423611111111111</v>
      </c>
      <c r="J66" s="14">
        <v>0.5923611111111111</v>
      </c>
      <c r="K66" s="15">
        <f t="shared" si="9"/>
        <v>0.05</v>
      </c>
      <c r="L66" s="11">
        <f>60+12</f>
        <v>72</v>
      </c>
      <c r="M66" s="11">
        <f t="shared" si="3"/>
        <v>1.2</v>
      </c>
      <c r="N66" s="11">
        <v>25.92974</v>
      </c>
    </row>
    <row r="67">
      <c r="A67" s="7">
        <v>45032.0</v>
      </c>
      <c r="B67" s="12">
        <v>247.0</v>
      </c>
      <c r="C67" s="8">
        <v>5.0</v>
      </c>
      <c r="D67" s="9">
        <v>2.0</v>
      </c>
      <c r="E67" s="9">
        <v>6.0</v>
      </c>
      <c r="F67" s="9">
        <v>5.0</v>
      </c>
      <c r="G67" s="13">
        <f>48+50+45+48+33</f>
        <v>224</v>
      </c>
      <c r="H67" s="13">
        <f t="shared" si="11"/>
        <v>219</v>
      </c>
      <c r="I67" s="14">
        <v>0.54375</v>
      </c>
      <c r="J67" s="14">
        <v>0.5951388888888889</v>
      </c>
      <c r="K67" s="15">
        <f t="shared" si="9"/>
        <v>0.05138888889</v>
      </c>
      <c r="L67" s="11">
        <f>60+14</f>
        <v>74</v>
      </c>
      <c r="M67" s="11">
        <f t="shared" si="3"/>
        <v>1.233333333</v>
      </c>
      <c r="N67" s="11">
        <v>25.92974</v>
      </c>
    </row>
    <row r="68">
      <c r="A68" s="7">
        <v>45032.0</v>
      </c>
      <c r="B68" s="12" t="s">
        <v>33</v>
      </c>
      <c r="C68" s="8">
        <v>5.0</v>
      </c>
      <c r="D68" s="9">
        <v>2.0</v>
      </c>
      <c r="E68" s="9">
        <v>7.0</v>
      </c>
      <c r="F68" s="9">
        <v>0.0</v>
      </c>
      <c r="G68" s="13">
        <f>52+44+52+52+37</f>
        <v>237</v>
      </c>
      <c r="H68" s="13">
        <f t="shared" si="11"/>
        <v>237</v>
      </c>
      <c r="I68" s="14">
        <v>0.5416666666666666</v>
      </c>
      <c r="J68" s="14">
        <v>0.5965277777777778</v>
      </c>
      <c r="K68" s="15">
        <f t="shared" si="9"/>
        <v>0.05486111111</v>
      </c>
      <c r="L68" s="11">
        <f>60+19</f>
        <v>79</v>
      </c>
      <c r="M68" s="11">
        <f t="shared" si="3"/>
        <v>1.316666667</v>
      </c>
      <c r="N68" s="11">
        <v>25.92974</v>
      </c>
    </row>
    <row r="69">
      <c r="A69" s="7">
        <v>45032.0</v>
      </c>
      <c r="B69" s="12">
        <v>244.0</v>
      </c>
      <c r="C69" s="8">
        <v>5.0</v>
      </c>
      <c r="D69" s="9">
        <v>2.0</v>
      </c>
      <c r="E69" s="9">
        <v>8.0</v>
      </c>
      <c r="F69" s="9">
        <v>5.0</v>
      </c>
      <c r="G69" s="13">
        <f>49+45+49+52+38+2</f>
        <v>235</v>
      </c>
      <c r="H69" s="13">
        <f t="shared" si="11"/>
        <v>230</v>
      </c>
      <c r="I69" s="14">
        <v>0.54375</v>
      </c>
      <c r="J69" s="14">
        <v>0.5986111111111111</v>
      </c>
      <c r="K69" s="15">
        <f t="shared" si="9"/>
        <v>0.05486111111</v>
      </c>
      <c r="L69" s="11">
        <v>79.0</v>
      </c>
      <c r="M69" s="11">
        <f t="shared" si="3"/>
        <v>1.316666667</v>
      </c>
      <c r="N69" s="11">
        <v>25.92974</v>
      </c>
    </row>
    <row r="70">
      <c r="A70" s="7">
        <v>45032.0</v>
      </c>
      <c r="B70" s="12">
        <v>243.0</v>
      </c>
      <c r="C70" s="8">
        <v>5.0</v>
      </c>
      <c r="D70" s="9">
        <v>2.0</v>
      </c>
      <c r="E70" s="9">
        <v>9.0</v>
      </c>
      <c r="F70" s="9">
        <v>2.0</v>
      </c>
      <c r="G70" s="13">
        <f>47+46+48+53+43</f>
        <v>237</v>
      </c>
      <c r="H70" s="13">
        <f t="shared" si="11"/>
        <v>235</v>
      </c>
      <c r="I70" s="14">
        <v>0.5444444444444444</v>
      </c>
      <c r="J70" s="14">
        <v>0.6006944444444444</v>
      </c>
      <c r="K70" s="15">
        <f t="shared" si="9"/>
        <v>0.05625</v>
      </c>
      <c r="L70" s="11">
        <v>81.0</v>
      </c>
      <c r="M70" s="11">
        <f t="shared" si="3"/>
        <v>1.35</v>
      </c>
      <c r="N70" s="11">
        <v>25.92974</v>
      </c>
    </row>
    <row r="71">
      <c r="A71" s="7">
        <v>45032.0</v>
      </c>
      <c r="B71" s="12">
        <v>219.0</v>
      </c>
      <c r="C71" s="8">
        <v>5.0</v>
      </c>
      <c r="D71" s="9">
        <v>2.0</v>
      </c>
      <c r="E71" s="9">
        <v>11.0</v>
      </c>
      <c r="F71" s="9">
        <v>3.0</v>
      </c>
      <c r="G71" s="13">
        <f>51+50+49+54+27</f>
        <v>231</v>
      </c>
      <c r="H71" s="13">
        <f t="shared" si="11"/>
        <v>228</v>
      </c>
      <c r="I71" s="14">
        <v>0.5444444444444444</v>
      </c>
      <c r="J71" s="14">
        <v>0.6027777777777777</v>
      </c>
      <c r="K71" s="15">
        <f t="shared" si="9"/>
        <v>0.05833333333</v>
      </c>
      <c r="L71" s="11">
        <v>84.0</v>
      </c>
      <c r="M71" s="11">
        <f t="shared" si="3"/>
        <v>1.4</v>
      </c>
      <c r="N71" s="11">
        <v>25.92974</v>
      </c>
    </row>
    <row r="72">
      <c r="A72" s="7">
        <v>45032.0</v>
      </c>
      <c r="B72" s="12">
        <v>222.0</v>
      </c>
      <c r="C72" s="8">
        <v>5.0</v>
      </c>
      <c r="D72" s="9">
        <v>2.0</v>
      </c>
      <c r="E72" s="9">
        <v>12.0</v>
      </c>
      <c r="F72" s="9">
        <v>2.0</v>
      </c>
      <c r="G72" s="13">
        <f>47+43+47+51+50</f>
        <v>238</v>
      </c>
      <c r="H72" s="13">
        <f t="shared" si="11"/>
        <v>236</v>
      </c>
      <c r="I72" s="28">
        <v>0.5444444444444444</v>
      </c>
      <c r="J72" s="14">
        <v>0.6048611111111111</v>
      </c>
      <c r="K72" s="15">
        <f t="shared" si="9"/>
        <v>0.06041666667</v>
      </c>
      <c r="L72" s="11">
        <v>87.0</v>
      </c>
      <c r="M72" s="11">
        <f t="shared" si="3"/>
        <v>1.45</v>
      </c>
      <c r="N72" s="11">
        <v>25.92974</v>
      </c>
    </row>
    <row r="73">
      <c r="A73" s="35"/>
      <c r="B73" s="35"/>
      <c r="C73" s="35"/>
      <c r="L73" s="10"/>
      <c r="M73" s="10"/>
      <c r="N73" s="10"/>
    </row>
    <row r="74">
      <c r="A74" s="35"/>
      <c r="B74" s="35"/>
      <c r="C74" s="35"/>
      <c r="L74" s="10"/>
      <c r="M74" s="10"/>
      <c r="N74" s="10">
        <f>average(N7:N72)</f>
        <v>25.74464939</v>
      </c>
    </row>
    <row r="75">
      <c r="A75" s="35"/>
      <c r="B75" s="35"/>
      <c r="C75" s="35"/>
      <c r="L75" s="10"/>
      <c r="M75" s="10"/>
      <c r="N75" s="10"/>
    </row>
    <row r="76">
      <c r="A76" s="35"/>
      <c r="B76" s="35"/>
      <c r="C76" s="35"/>
      <c r="L76" s="10"/>
      <c r="M76" s="10"/>
      <c r="N76" s="10"/>
    </row>
    <row r="77">
      <c r="A77" s="35"/>
      <c r="B77" s="35"/>
      <c r="C77" s="35"/>
      <c r="L77" s="10"/>
      <c r="M77" s="10"/>
      <c r="N77" s="10"/>
    </row>
    <row r="78">
      <c r="A78" s="35"/>
      <c r="B78" s="35"/>
      <c r="C78" s="35"/>
      <c r="L78" s="10"/>
      <c r="M78" s="10"/>
      <c r="N78" s="10"/>
    </row>
    <row r="79">
      <c r="A79" s="35"/>
      <c r="B79" s="35"/>
      <c r="C79" s="35"/>
      <c r="L79" s="10"/>
      <c r="M79" s="10"/>
      <c r="N79" s="10"/>
    </row>
    <row r="80">
      <c r="A80" s="35"/>
      <c r="B80" s="35"/>
      <c r="C80" s="35"/>
      <c r="L80" s="10"/>
      <c r="M80" s="10"/>
      <c r="N80" s="10"/>
    </row>
    <row r="81">
      <c r="A81" s="35"/>
      <c r="B81" s="35"/>
      <c r="C81" s="35"/>
      <c r="L81" s="10"/>
      <c r="M81" s="10"/>
      <c r="N81" s="10"/>
    </row>
    <row r="82">
      <c r="A82" s="35"/>
      <c r="B82" s="35"/>
      <c r="C82" s="35"/>
      <c r="L82" s="10"/>
      <c r="M82" s="10"/>
      <c r="N82" s="10"/>
    </row>
    <row r="83">
      <c r="A83" s="35"/>
      <c r="B83" s="35"/>
      <c r="C83" s="35"/>
      <c r="L83" s="10"/>
      <c r="M83" s="10"/>
      <c r="N83" s="10"/>
    </row>
    <row r="84">
      <c r="A84" s="35"/>
      <c r="B84" s="35"/>
      <c r="C84" s="35"/>
      <c r="L84" s="10"/>
      <c r="M84" s="10"/>
      <c r="N84" s="10"/>
    </row>
    <row r="85">
      <c r="A85" s="35"/>
      <c r="B85" s="35"/>
      <c r="C85" s="35"/>
      <c r="L85" s="10"/>
      <c r="M85" s="10"/>
      <c r="N85" s="10"/>
    </row>
    <row r="86">
      <c r="A86" s="35"/>
      <c r="B86" s="35"/>
      <c r="C86" s="35"/>
      <c r="L86" s="10"/>
      <c r="M86" s="10"/>
      <c r="N86" s="10"/>
    </row>
    <row r="87">
      <c r="A87" s="35"/>
      <c r="B87" s="35"/>
      <c r="C87" s="35"/>
      <c r="L87" s="10"/>
      <c r="M87" s="10"/>
      <c r="N87" s="10"/>
    </row>
    <row r="88">
      <c r="A88" s="35"/>
      <c r="B88" s="35"/>
      <c r="C88" s="35"/>
      <c r="L88" s="10"/>
      <c r="M88" s="10"/>
      <c r="N88" s="10"/>
    </row>
    <row r="89">
      <c r="A89" s="35"/>
      <c r="B89" s="35"/>
      <c r="C89" s="35"/>
      <c r="L89" s="10"/>
      <c r="M89" s="10"/>
      <c r="N89" s="10"/>
    </row>
    <row r="90">
      <c r="A90" s="35"/>
      <c r="B90" s="35"/>
      <c r="C90" s="35"/>
      <c r="L90" s="10"/>
      <c r="M90" s="10"/>
      <c r="N90" s="10"/>
    </row>
    <row r="91">
      <c r="A91" s="35"/>
      <c r="B91" s="35"/>
      <c r="C91" s="35"/>
      <c r="L91" s="10"/>
      <c r="M91" s="10"/>
      <c r="N91" s="10"/>
    </row>
    <row r="92">
      <c r="A92" s="35"/>
      <c r="B92" s="35"/>
      <c r="C92" s="35"/>
      <c r="L92" s="10"/>
      <c r="M92" s="10"/>
      <c r="N92" s="10"/>
    </row>
    <row r="93">
      <c r="A93" s="35"/>
      <c r="B93" s="35"/>
      <c r="C93" s="35"/>
      <c r="L93" s="10"/>
      <c r="M93" s="10"/>
      <c r="N93" s="10"/>
    </row>
    <row r="94">
      <c r="A94" s="35"/>
      <c r="B94" s="35"/>
      <c r="C94" s="35"/>
      <c r="L94" s="10"/>
      <c r="M94" s="10"/>
      <c r="N94" s="10"/>
    </row>
    <row r="95">
      <c r="A95" s="35"/>
      <c r="B95" s="35"/>
      <c r="C95" s="35"/>
      <c r="L95" s="10"/>
      <c r="M95" s="10"/>
      <c r="N95" s="10"/>
    </row>
    <row r="96">
      <c r="A96" s="35"/>
      <c r="B96" s="35"/>
      <c r="C96" s="35"/>
      <c r="L96" s="10"/>
      <c r="M96" s="10"/>
      <c r="N96" s="10"/>
    </row>
    <row r="97">
      <c r="A97" s="35"/>
      <c r="B97" s="35"/>
      <c r="C97" s="35"/>
      <c r="L97" s="10"/>
      <c r="M97" s="10"/>
      <c r="N97" s="10"/>
    </row>
    <row r="98">
      <c r="A98" s="35"/>
      <c r="B98" s="35"/>
      <c r="C98" s="35"/>
      <c r="L98" s="10"/>
      <c r="M98" s="10"/>
      <c r="N98" s="10"/>
    </row>
    <row r="99">
      <c r="A99" s="35"/>
      <c r="B99" s="35"/>
      <c r="C99" s="35"/>
      <c r="L99" s="10"/>
      <c r="M99" s="10"/>
      <c r="N99" s="10"/>
    </row>
    <row r="100">
      <c r="A100" s="35"/>
      <c r="B100" s="35"/>
      <c r="C100" s="35"/>
      <c r="L100" s="10"/>
      <c r="M100" s="10"/>
      <c r="N100" s="10"/>
    </row>
    <row r="101">
      <c r="A101" s="35"/>
      <c r="B101" s="35"/>
      <c r="C101" s="35"/>
      <c r="L101" s="10"/>
      <c r="M101" s="10"/>
      <c r="N101" s="10"/>
    </row>
    <row r="102">
      <c r="A102" s="35"/>
      <c r="B102" s="35"/>
      <c r="C102" s="35"/>
      <c r="L102" s="10"/>
      <c r="M102" s="10"/>
      <c r="N102" s="10"/>
    </row>
    <row r="103">
      <c r="A103" s="35"/>
      <c r="B103" s="35"/>
      <c r="C103" s="35"/>
      <c r="L103" s="10"/>
      <c r="M103" s="10"/>
      <c r="N103" s="10"/>
    </row>
    <row r="104">
      <c r="A104" s="35"/>
      <c r="B104" s="35"/>
      <c r="C104" s="35"/>
      <c r="L104" s="10"/>
      <c r="M104" s="10"/>
      <c r="N104" s="10"/>
    </row>
    <row r="105">
      <c r="A105" s="35"/>
      <c r="B105" s="35"/>
      <c r="C105" s="35"/>
      <c r="L105" s="10"/>
      <c r="M105" s="10"/>
      <c r="N105" s="10"/>
    </row>
    <row r="106">
      <c r="A106" s="35"/>
      <c r="B106" s="35"/>
      <c r="C106" s="35"/>
      <c r="L106" s="10"/>
      <c r="M106" s="10"/>
      <c r="N106" s="10"/>
    </row>
    <row r="107">
      <c r="A107" s="35"/>
      <c r="B107" s="35"/>
      <c r="C107" s="35"/>
      <c r="L107" s="10"/>
      <c r="M107" s="10"/>
      <c r="N107" s="10"/>
    </row>
    <row r="108">
      <c r="A108" s="35"/>
      <c r="B108" s="35"/>
      <c r="C108" s="35"/>
      <c r="L108" s="10"/>
      <c r="M108" s="10"/>
      <c r="N108" s="10"/>
    </row>
    <row r="109">
      <c r="A109" s="35"/>
      <c r="B109" s="35"/>
      <c r="C109" s="35"/>
      <c r="L109" s="10"/>
      <c r="M109" s="10"/>
      <c r="N109" s="10"/>
    </row>
    <row r="110">
      <c r="A110" s="35"/>
      <c r="B110" s="35"/>
      <c r="C110" s="35"/>
      <c r="L110" s="10"/>
      <c r="M110" s="10"/>
      <c r="N110" s="10"/>
    </row>
    <row r="111">
      <c r="A111" s="35"/>
      <c r="B111" s="35"/>
      <c r="C111" s="35"/>
      <c r="L111" s="10"/>
      <c r="M111" s="10"/>
      <c r="N111" s="10"/>
    </row>
    <row r="112">
      <c r="A112" s="35"/>
      <c r="B112" s="35"/>
      <c r="C112" s="35"/>
      <c r="L112" s="10"/>
      <c r="M112" s="10"/>
      <c r="N112" s="10"/>
    </row>
    <row r="113">
      <c r="A113" s="35"/>
      <c r="B113" s="35"/>
      <c r="C113" s="35"/>
      <c r="L113" s="10"/>
      <c r="M113" s="10"/>
      <c r="N113" s="10"/>
    </row>
    <row r="114">
      <c r="A114" s="35"/>
      <c r="B114" s="35"/>
      <c r="C114" s="35"/>
      <c r="L114" s="10"/>
      <c r="M114" s="10"/>
      <c r="N114" s="10"/>
    </row>
    <row r="115">
      <c r="A115" s="35"/>
      <c r="B115" s="35"/>
      <c r="C115" s="35"/>
      <c r="L115" s="10"/>
      <c r="M115" s="10"/>
      <c r="N115" s="10"/>
    </row>
    <row r="116">
      <c r="A116" s="35"/>
      <c r="B116" s="35"/>
      <c r="C116" s="35"/>
      <c r="L116" s="10"/>
      <c r="M116" s="10"/>
      <c r="N116" s="10"/>
    </row>
    <row r="117">
      <c r="A117" s="35"/>
      <c r="B117" s="35"/>
      <c r="C117" s="35"/>
      <c r="L117" s="10"/>
      <c r="M117" s="10"/>
      <c r="N117" s="10"/>
    </row>
    <row r="118">
      <c r="A118" s="35"/>
      <c r="B118" s="35"/>
      <c r="C118" s="35"/>
      <c r="L118" s="10"/>
      <c r="M118" s="10"/>
      <c r="N118" s="10"/>
    </row>
    <row r="119">
      <c r="A119" s="35"/>
      <c r="B119" s="35"/>
      <c r="C119" s="35"/>
      <c r="L119" s="10"/>
      <c r="M119" s="10"/>
      <c r="N119" s="10"/>
    </row>
    <row r="120">
      <c r="A120" s="35"/>
      <c r="B120" s="35"/>
      <c r="C120" s="35"/>
      <c r="L120" s="10"/>
      <c r="M120" s="10"/>
      <c r="N120" s="10"/>
    </row>
    <row r="121">
      <c r="A121" s="35"/>
      <c r="B121" s="35"/>
      <c r="C121" s="35"/>
      <c r="L121" s="10"/>
      <c r="M121" s="10"/>
      <c r="N121" s="10"/>
    </row>
    <row r="122">
      <c r="A122" s="35"/>
      <c r="B122" s="35"/>
      <c r="C122" s="35"/>
      <c r="L122" s="10"/>
      <c r="M122" s="10"/>
      <c r="N122" s="10"/>
    </row>
    <row r="123">
      <c r="A123" s="35"/>
      <c r="B123" s="35"/>
      <c r="C123" s="35"/>
      <c r="L123" s="10"/>
      <c r="M123" s="10"/>
      <c r="N123" s="10"/>
    </row>
    <row r="124">
      <c r="A124" s="35"/>
      <c r="B124" s="35"/>
      <c r="C124" s="35"/>
      <c r="L124" s="10"/>
      <c r="M124" s="10"/>
      <c r="N124" s="10"/>
    </row>
    <row r="125">
      <c r="A125" s="35"/>
      <c r="B125" s="35"/>
      <c r="C125" s="35"/>
      <c r="L125" s="10"/>
      <c r="M125" s="10"/>
      <c r="N125" s="10"/>
    </row>
    <row r="126">
      <c r="A126" s="35"/>
      <c r="B126" s="35"/>
      <c r="C126" s="35"/>
      <c r="L126" s="10"/>
      <c r="M126" s="10"/>
      <c r="N126" s="10"/>
    </row>
    <row r="127">
      <c r="A127" s="35"/>
      <c r="B127" s="35"/>
      <c r="C127" s="35"/>
      <c r="L127" s="10"/>
      <c r="M127" s="10"/>
      <c r="N127" s="10"/>
    </row>
    <row r="128">
      <c r="A128" s="35"/>
      <c r="B128" s="35"/>
      <c r="C128" s="35"/>
      <c r="L128" s="10"/>
      <c r="M128" s="10"/>
      <c r="N128" s="10"/>
    </row>
    <row r="129">
      <c r="A129" s="35"/>
      <c r="B129" s="35"/>
      <c r="C129" s="35"/>
      <c r="L129" s="10"/>
      <c r="M129" s="10"/>
      <c r="N129" s="10"/>
    </row>
    <row r="130">
      <c r="A130" s="35"/>
      <c r="B130" s="35"/>
      <c r="C130" s="35"/>
      <c r="L130" s="10"/>
      <c r="M130" s="10"/>
      <c r="N130" s="10"/>
    </row>
    <row r="131">
      <c r="A131" s="35"/>
      <c r="B131" s="35"/>
      <c r="C131" s="35"/>
      <c r="L131" s="10"/>
      <c r="M131" s="10"/>
      <c r="N131" s="10"/>
    </row>
    <row r="132">
      <c r="A132" s="35"/>
      <c r="B132" s="35"/>
      <c r="C132" s="35"/>
      <c r="L132" s="10"/>
      <c r="M132" s="10"/>
      <c r="N132" s="10"/>
    </row>
    <row r="133">
      <c r="A133" s="35"/>
      <c r="B133" s="35"/>
      <c r="C133" s="35"/>
      <c r="L133" s="10"/>
      <c r="M133" s="10"/>
      <c r="N133" s="10"/>
    </row>
    <row r="134">
      <c r="A134" s="35"/>
      <c r="B134" s="35"/>
      <c r="C134" s="35"/>
      <c r="L134" s="10"/>
      <c r="M134" s="10"/>
      <c r="N134" s="10"/>
    </row>
    <row r="135">
      <c r="A135" s="35"/>
      <c r="B135" s="35"/>
      <c r="C135" s="35"/>
      <c r="L135" s="10"/>
      <c r="M135" s="10"/>
      <c r="N135" s="10"/>
    </row>
    <row r="136">
      <c r="A136" s="35"/>
      <c r="B136" s="35"/>
      <c r="C136" s="35"/>
      <c r="L136" s="10"/>
      <c r="M136" s="10"/>
      <c r="N136" s="10"/>
    </row>
    <row r="137">
      <c r="A137" s="35"/>
      <c r="B137" s="35"/>
      <c r="C137" s="35"/>
      <c r="L137" s="10"/>
      <c r="M137" s="10"/>
      <c r="N137" s="10"/>
    </row>
    <row r="138">
      <c r="A138" s="35"/>
      <c r="B138" s="35"/>
      <c r="C138" s="35"/>
      <c r="L138" s="10"/>
      <c r="M138" s="10"/>
      <c r="N138" s="10"/>
    </row>
    <row r="139">
      <c r="A139" s="35"/>
      <c r="B139" s="35"/>
      <c r="C139" s="35"/>
      <c r="L139" s="10"/>
      <c r="M139" s="10"/>
      <c r="N139" s="10"/>
    </row>
    <row r="140">
      <c r="A140" s="35"/>
      <c r="B140" s="35"/>
      <c r="C140" s="35"/>
      <c r="L140" s="10"/>
      <c r="M140" s="10"/>
      <c r="N140" s="10"/>
    </row>
    <row r="141">
      <c r="A141" s="35"/>
      <c r="B141" s="35"/>
      <c r="C141" s="35"/>
      <c r="L141" s="10"/>
      <c r="M141" s="10"/>
      <c r="N141" s="10"/>
    </row>
    <row r="142">
      <c r="A142" s="35"/>
      <c r="B142" s="35"/>
      <c r="C142" s="35"/>
      <c r="L142" s="10"/>
      <c r="M142" s="10"/>
      <c r="N142" s="10"/>
    </row>
    <row r="143">
      <c r="A143" s="35"/>
      <c r="B143" s="35"/>
      <c r="C143" s="35"/>
      <c r="L143" s="10"/>
      <c r="M143" s="10"/>
      <c r="N143" s="10"/>
    </row>
    <row r="144">
      <c r="A144" s="35"/>
      <c r="B144" s="35"/>
      <c r="C144" s="35"/>
      <c r="L144" s="10"/>
      <c r="M144" s="10"/>
      <c r="N144" s="10"/>
    </row>
    <row r="145">
      <c r="A145" s="35"/>
      <c r="B145" s="35"/>
      <c r="C145" s="35"/>
      <c r="L145" s="10"/>
      <c r="M145" s="10"/>
      <c r="N145" s="10"/>
    </row>
    <row r="146">
      <c r="A146" s="35"/>
      <c r="B146" s="35"/>
      <c r="C146" s="35"/>
      <c r="L146" s="10"/>
      <c r="M146" s="10"/>
      <c r="N146" s="10"/>
    </row>
    <row r="147">
      <c r="A147" s="35"/>
      <c r="B147" s="35"/>
      <c r="C147" s="35"/>
      <c r="L147" s="10"/>
      <c r="M147" s="10"/>
      <c r="N147" s="10"/>
    </row>
    <row r="148">
      <c r="A148" s="35"/>
      <c r="B148" s="35"/>
      <c r="C148" s="35"/>
      <c r="L148" s="10"/>
      <c r="M148" s="10"/>
      <c r="N148" s="10"/>
    </row>
    <row r="149">
      <c r="A149" s="35"/>
      <c r="B149" s="35"/>
      <c r="C149" s="35"/>
      <c r="L149" s="10"/>
      <c r="M149" s="10"/>
      <c r="N149" s="10"/>
    </row>
    <row r="150">
      <c r="A150" s="35"/>
      <c r="B150" s="35"/>
      <c r="C150" s="35"/>
      <c r="L150" s="10"/>
      <c r="M150" s="10"/>
      <c r="N150" s="10"/>
    </row>
    <row r="151">
      <c r="A151" s="35"/>
      <c r="B151" s="35"/>
      <c r="C151" s="35"/>
      <c r="L151" s="10"/>
      <c r="M151" s="10"/>
      <c r="N151" s="10"/>
    </row>
    <row r="152">
      <c r="A152" s="35"/>
      <c r="B152" s="35"/>
      <c r="C152" s="35"/>
      <c r="L152" s="10"/>
      <c r="M152" s="10"/>
      <c r="N152" s="10"/>
    </row>
    <row r="153">
      <c r="A153" s="35"/>
      <c r="B153" s="35"/>
      <c r="C153" s="35"/>
      <c r="L153" s="10"/>
      <c r="M153" s="10"/>
      <c r="N153" s="10"/>
    </row>
    <row r="154">
      <c r="A154" s="35"/>
      <c r="B154" s="35"/>
      <c r="C154" s="35"/>
      <c r="L154" s="10"/>
      <c r="M154" s="10"/>
      <c r="N154" s="10"/>
    </row>
    <row r="155">
      <c r="A155" s="35"/>
      <c r="B155" s="35"/>
      <c r="C155" s="35"/>
      <c r="L155" s="10"/>
      <c r="M155" s="10"/>
      <c r="N155" s="10"/>
    </row>
    <row r="156">
      <c r="A156" s="35"/>
      <c r="B156" s="35"/>
      <c r="C156" s="35"/>
      <c r="L156" s="10"/>
      <c r="M156" s="10"/>
      <c r="N156" s="10"/>
    </row>
    <row r="157">
      <c r="A157" s="35"/>
      <c r="B157" s="35"/>
      <c r="C157" s="35"/>
      <c r="L157" s="10"/>
      <c r="M157" s="10"/>
      <c r="N157" s="10"/>
    </row>
    <row r="158">
      <c r="A158" s="35"/>
      <c r="B158" s="35"/>
      <c r="C158" s="35"/>
      <c r="L158" s="10"/>
      <c r="M158" s="10"/>
      <c r="N158" s="10"/>
    </row>
    <row r="159">
      <c r="A159" s="35"/>
      <c r="B159" s="35"/>
      <c r="C159" s="35"/>
      <c r="L159" s="10"/>
      <c r="M159" s="10"/>
      <c r="N159" s="10"/>
    </row>
    <row r="160">
      <c r="A160" s="35"/>
      <c r="B160" s="35"/>
      <c r="C160" s="35"/>
      <c r="L160" s="10"/>
      <c r="M160" s="10"/>
      <c r="N160" s="10"/>
    </row>
    <row r="161">
      <c r="A161" s="35"/>
      <c r="B161" s="35"/>
      <c r="C161" s="35"/>
      <c r="L161" s="10"/>
      <c r="M161" s="10"/>
      <c r="N161" s="10"/>
    </row>
    <row r="162">
      <c r="A162" s="35"/>
      <c r="B162" s="35"/>
      <c r="C162" s="35"/>
      <c r="L162" s="10"/>
      <c r="M162" s="10"/>
      <c r="N162" s="10"/>
    </row>
    <row r="163">
      <c r="A163" s="35"/>
      <c r="B163" s="35"/>
      <c r="C163" s="35"/>
      <c r="L163" s="10"/>
      <c r="M163" s="10"/>
      <c r="N163" s="10"/>
    </row>
    <row r="164">
      <c r="A164" s="35"/>
      <c r="B164" s="35"/>
      <c r="C164" s="35"/>
      <c r="L164" s="10"/>
      <c r="M164" s="10"/>
      <c r="N164" s="10"/>
    </row>
    <row r="165">
      <c r="A165" s="35"/>
      <c r="B165" s="35"/>
      <c r="C165" s="35"/>
      <c r="L165" s="10"/>
      <c r="M165" s="10"/>
      <c r="N165" s="10"/>
    </row>
    <row r="166">
      <c r="A166" s="35"/>
      <c r="B166" s="35"/>
      <c r="C166" s="35"/>
      <c r="L166" s="10"/>
      <c r="M166" s="10"/>
      <c r="N166" s="10"/>
    </row>
    <row r="167">
      <c r="A167" s="35"/>
      <c r="B167" s="35"/>
      <c r="C167" s="35"/>
      <c r="L167" s="10"/>
      <c r="M167" s="10"/>
      <c r="N167" s="10"/>
    </row>
    <row r="168">
      <c r="A168" s="35"/>
      <c r="B168" s="35"/>
      <c r="C168" s="35"/>
      <c r="L168" s="10"/>
      <c r="M168" s="10"/>
      <c r="N168" s="10"/>
    </row>
    <row r="169">
      <c r="A169" s="35"/>
      <c r="B169" s="35"/>
      <c r="C169" s="35"/>
      <c r="L169" s="10"/>
      <c r="M169" s="10"/>
      <c r="N169" s="10"/>
    </row>
    <row r="170">
      <c r="A170" s="35"/>
      <c r="B170" s="35"/>
      <c r="C170" s="35"/>
      <c r="L170" s="10"/>
      <c r="M170" s="10"/>
      <c r="N170" s="10"/>
    </row>
    <row r="171">
      <c r="A171" s="35"/>
      <c r="B171" s="35"/>
      <c r="C171" s="35"/>
      <c r="L171" s="10"/>
      <c r="M171" s="10"/>
      <c r="N171" s="10"/>
    </row>
    <row r="172">
      <c r="A172" s="35"/>
      <c r="B172" s="35"/>
      <c r="C172" s="35"/>
      <c r="L172" s="10"/>
      <c r="M172" s="10"/>
      <c r="N172" s="10"/>
    </row>
    <row r="173">
      <c r="A173" s="35"/>
      <c r="B173" s="35"/>
      <c r="C173" s="35"/>
      <c r="L173" s="10"/>
      <c r="M173" s="10"/>
      <c r="N173" s="10"/>
    </row>
    <row r="174">
      <c r="A174" s="35"/>
      <c r="B174" s="35"/>
      <c r="C174" s="35"/>
      <c r="L174" s="10"/>
      <c r="M174" s="10"/>
      <c r="N174" s="10"/>
    </row>
    <row r="175">
      <c r="A175" s="35"/>
      <c r="B175" s="35"/>
      <c r="C175" s="35"/>
      <c r="L175" s="10"/>
      <c r="M175" s="10"/>
      <c r="N175" s="10"/>
    </row>
    <row r="176">
      <c r="A176" s="35"/>
      <c r="B176" s="35"/>
      <c r="C176" s="35"/>
      <c r="L176" s="10"/>
      <c r="M176" s="10"/>
      <c r="N176" s="10"/>
    </row>
    <row r="177">
      <c r="A177" s="35"/>
      <c r="B177" s="35"/>
      <c r="C177" s="35"/>
      <c r="L177" s="10"/>
      <c r="M177" s="10"/>
      <c r="N177" s="10"/>
    </row>
    <row r="178">
      <c r="A178" s="35"/>
      <c r="B178" s="35"/>
      <c r="C178" s="35"/>
      <c r="L178" s="10"/>
      <c r="M178" s="10"/>
      <c r="N178" s="10"/>
    </row>
    <row r="179">
      <c r="A179" s="35"/>
      <c r="B179" s="35"/>
      <c r="C179" s="35"/>
      <c r="L179" s="10"/>
      <c r="M179" s="10"/>
      <c r="N179" s="10"/>
    </row>
    <row r="180">
      <c r="A180" s="35"/>
      <c r="B180" s="35"/>
      <c r="C180" s="35"/>
      <c r="L180" s="10"/>
      <c r="M180" s="10"/>
      <c r="N180" s="10"/>
    </row>
    <row r="181">
      <c r="A181" s="35"/>
      <c r="B181" s="35"/>
      <c r="C181" s="35"/>
      <c r="L181" s="10"/>
      <c r="M181" s="10"/>
      <c r="N181" s="10"/>
    </row>
    <row r="182">
      <c r="A182" s="35"/>
      <c r="B182" s="35"/>
      <c r="C182" s="35"/>
      <c r="L182" s="10"/>
      <c r="M182" s="10"/>
      <c r="N182" s="10"/>
    </row>
    <row r="183">
      <c r="A183" s="35"/>
      <c r="B183" s="35"/>
      <c r="C183" s="35"/>
      <c r="L183" s="10"/>
      <c r="M183" s="10"/>
      <c r="N183" s="10"/>
    </row>
    <row r="184">
      <c r="A184" s="35"/>
      <c r="B184" s="35"/>
      <c r="C184" s="35"/>
      <c r="L184" s="10"/>
      <c r="M184" s="10"/>
      <c r="N184" s="10"/>
    </row>
    <row r="185">
      <c r="A185" s="35"/>
      <c r="B185" s="35"/>
      <c r="C185" s="35"/>
      <c r="L185" s="10"/>
      <c r="M185" s="10"/>
      <c r="N185" s="10"/>
    </row>
    <row r="186">
      <c r="A186" s="35"/>
      <c r="B186" s="35"/>
      <c r="C186" s="35"/>
      <c r="L186" s="10"/>
      <c r="M186" s="10"/>
      <c r="N186" s="10"/>
    </row>
    <row r="187">
      <c r="A187" s="35"/>
      <c r="B187" s="35"/>
      <c r="C187" s="35"/>
      <c r="L187" s="10"/>
      <c r="M187" s="10"/>
      <c r="N187" s="10"/>
    </row>
    <row r="188">
      <c r="A188" s="35"/>
      <c r="B188" s="35"/>
      <c r="C188" s="35"/>
      <c r="L188" s="10"/>
      <c r="M188" s="10"/>
      <c r="N188" s="10"/>
    </row>
    <row r="189">
      <c r="A189" s="35"/>
      <c r="B189" s="35"/>
      <c r="C189" s="35"/>
      <c r="L189" s="10"/>
      <c r="M189" s="10"/>
      <c r="N189" s="10"/>
    </row>
    <row r="190">
      <c r="A190" s="35"/>
      <c r="B190" s="35"/>
      <c r="C190" s="35"/>
      <c r="L190" s="10"/>
      <c r="M190" s="10"/>
      <c r="N190" s="10"/>
    </row>
    <row r="191">
      <c r="A191" s="35"/>
      <c r="B191" s="35"/>
      <c r="C191" s="35"/>
      <c r="L191" s="10"/>
      <c r="M191" s="10"/>
      <c r="N191" s="10"/>
    </row>
    <row r="192">
      <c r="A192" s="35"/>
      <c r="B192" s="35"/>
      <c r="C192" s="35"/>
      <c r="L192" s="10"/>
      <c r="M192" s="10"/>
      <c r="N192" s="10"/>
    </row>
    <row r="193">
      <c r="A193" s="35"/>
      <c r="B193" s="35"/>
      <c r="C193" s="35"/>
      <c r="L193" s="10"/>
      <c r="M193" s="10"/>
      <c r="N193" s="10"/>
    </row>
    <row r="194">
      <c r="A194" s="35"/>
      <c r="B194" s="35"/>
      <c r="C194" s="35"/>
      <c r="L194" s="10"/>
      <c r="M194" s="10"/>
      <c r="N194" s="10"/>
    </row>
    <row r="195">
      <c r="A195" s="35"/>
      <c r="B195" s="35"/>
      <c r="C195" s="35"/>
      <c r="L195" s="10"/>
      <c r="M195" s="10"/>
      <c r="N195" s="10"/>
    </row>
    <row r="196">
      <c r="A196" s="35"/>
      <c r="B196" s="35"/>
      <c r="C196" s="35"/>
      <c r="L196" s="10"/>
      <c r="M196" s="10"/>
      <c r="N196" s="10"/>
    </row>
    <row r="197">
      <c r="A197" s="35"/>
      <c r="B197" s="35"/>
      <c r="C197" s="35"/>
      <c r="L197" s="10"/>
      <c r="M197" s="10"/>
      <c r="N197" s="10"/>
    </row>
    <row r="198">
      <c r="A198" s="35"/>
      <c r="B198" s="35"/>
      <c r="C198" s="35"/>
      <c r="L198" s="10"/>
      <c r="M198" s="10"/>
      <c r="N198" s="10"/>
    </row>
    <row r="199">
      <c r="A199" s="35"/>
      <c r="B199" s="35"/>
      <c r="C199" s="35"/>
      <c r="L199" s="10"/>
      <c r="M199" s="10"/>
      <c r="N199" s="10"/>
    </row>
    <row r="200">
      <c r="A200" s="35"/>
      <c r="B200" s="35"/>
      <c r="C200" s="35"/>
      <c r="L200" s="10"/>
      <c r="M200" s="10"/>
      <c r="N200" s="10"/>
    </row>
    <row r="201">
      <c r="A201" s="35"/>
      <c r="B201" s="35"/>
      <c r="C201" s="35"/>
      <c r="L201" s="10"/>
      <c r="M201" s="10"/>
      <c r="N201" s="10"/>
    </row>
    <row r="202">
      <c r="A202" s="35"/>
      <c r="B202" s="35"/>
      <c r="C202" s="35"/>
      <c r="L202" s="10"/>
      <c r="M202" s="10"/>
      <c r="N202" s="10"/>
    </row>
    <row r="203">
      <c r="A203" s="35"/>
      <c r="B203" s="35"/>
      <c r="C203" s="35"/>
      <c r="L203" s="10"/>
      <c r="M203" s="10"/>
      <c r="N203" s="10"/>
    </row>
    <row r="204">
      <c r="A204" s="35"/>
      <c r="B204" s="35"/>
      <c r="C204" s="35"/>
      <c r="L204" s="10"/>
      <c r="M204" s="10"/>
      <c r="N204" s="10"/>
    </row>
    <row r="205">
      <c r="A205" s="35"/>
      <c r="B205" s="35"/>
      <c r="C205" s="35"/>
      <c r="L205" s="10"/>
      <c r="M205" s="10"/>
      <c r="N205" s="10"/>
    </row>
    <row r="206">
      <c r="A206" s="35"/>
      <c r="B206" s="35"/>
      <c r="C206" s="35"/>
      <c r="L206" s="10"/>
      <c r="M206" s="10"/>
      <c r="N206" s="10"/>
    </row>
    <row r="207">
      <c r="A207" s="35"/>
      <c r="B207" s="35"/>
      <c r="C207" s="35"/>
      <c r="L207" s="10"/>
      <c r="M207" s="10"/>
      <c r="N207" s="10"/>
    </row>
    <row r="208">
      <c r="A208" s="35"/>
      <c r="B208" s="35"/>
      <c r="C208" s="35"/>
      <c r="L208" s="10"/>
      <c r="M208" s="10"/>
      <c r="N208" s="10"/>
    </row>
    <row r="209">
      <c r="A209" s="35"/>
      <c r="B209" s="35"/>
      <c r="C209" s="35"/>
      <c r="L209" s="10"/>
      <c r="M209" s="10"/>
      <c r="N209" s="10"/>
    </row>
    <row r="210">
      <c r="A210" s="35"/>
      <c r="B210" s="35"/>
      <c r="C210" s="35"/>
      <c r="L210" s="10"/>
      <c r="M210" s="10"/>
      <c r="N210" s="10"/>
    </row>
    <row r="211">
      <c r="A211" s="35"/>
      <c r="B211" s="35"/>
      <c r="C211" s="35"/>
      <c r="L211" s="10"/>
      <c r="M211" s="10"/>
      <c r="N211" s="10"/>
    </row>
    <row r="212">
      <c r="A212" s="35"/>
      <c r="B212" s="35"/>
      <c r="C212" s="35"/>
      <c r="L212" s="10"/>
      <c r="M212" s="10"/>
      <c r="N212" s="10"/>
    </row>
    <row r="213">
      <c r="A213" s="35"/>
      <c r="B213" s="35"/>
      <c r="C213" s="35"/>
      <c r="L213" s="10"/>
      <c r="M213" s="10"/>
      <c r="N213" s="10"/>
    </row>
    <row r="214">
      <c r="A214" s="35"/>
      <c r="B214" s="35"/>
      <c r="C214" s="35"/>
      <c r="L214" s="10"/>
      <c r="M214" s="10"/>
      <c r="N214" s="10"/>
    </row>
    <row r="215">
      <c r="A215" s="35"/>
      <c r="B215" s="35"/>
      <c r="C215" s="35"/>
      <c r="L215" s="10"/>
      <c r="M215" s="10"/>
      <c r="N215" s="10"/>
    </row>
    <row r="216">
      <c r="A216" s="35"/>
      <c r="B216" s="35"/>
      <c r="C216" s="35"/>
      <c r="L216" s="10"/>
      <c r="M216" s="10"/>
      <c r="N216" s="10"/>
    </row>
    <row r="217">
      <c r="A217" s="35"/>
      <c r="B217" s="35"/>
      <c r="C217" s="35"/>
      <c r="L217" s="10"/>
      <c r="M217" s="10"/>
      <c r="N217" s="10"/>
    </row>
    <row r="218">
      <c r="A218" s="35"/>
      <c r="B218" s="35"/>
      <c r="C218" s="35"/>
      <c r="L218" s="10"/>
      <c r="M218" s="10"/>
      <c r="N218" s="10"/>
    </row>
    <row r="219">
      <c r="A219" s="35"/>
      <c r="B219" s="35"/>
      <c r="C219" s="35"/>
      <c r="L219" s="10"/>
      <c r="M219" s="10"/>
      <c r="N219" s="10"/>
    </row>
    <row r="220">
      <c r="A220" s="35"/>
      <c r="B220" s="35"/>
      <c r="C220" s="35"/>
      <c r="L220" s="10"/>
      <c r="M220" s="10"/>
      <c r="N220" s="10"/>
    </row>
    <row r="221">
      <c r="A221" s="35"/>
      <c r="B221" s="35"/>
      <c r="C221" s="35"/>
      <c r="L221" s="10"/>
      <c r="M221" s="10"/>
      <c r="N221" s="10"/>
    </row>
    <row r="222">
      <c r="A222" s="35"/>
      <c r="B222" s="35"/>
      <c r="C222" s="35"/>
      <c r="L222" s="10"/>
      <c r="M222" s="10"/>
      <c r="N222" s="10"/>
    </row>
    <row r="223">
      <c r="A223" s="35"/>
      <c r="B223" s="35"/>
      <c r="C223" s="35"/>
      <c r="L223" s="10"/>
      <c r="M223" s="10"/>
      <c r="N223" s="10"/>
    </row>
    <row r="224">
      <c r="A224" s="35"/>
      <c r="B224" s="35"/>
      <c r="C224" s="35"/>
      <c r="L224" s="10"/>
      <c r="M224" s="10"/>
      <c r="N224" s="10"/>
    </row>
    <row r="225">
      <c r="A225" s="35"/>
      <c r="B225" s="35"/>
      <c r="C225" s="35"/>
      <c r="L225" s="10"/>
      <c r="M225" s="10"/>
      <c r="N225" s="10"/>
    </row>
    <row r="226">
      <c r="A226" s="35"/>
      <c r="B226" s="35"/>
      <c r="C226" s="35"/>
      <c r="L226" s="10"/>
      <c r="M226" s="10"/>
      <c r="N226" s="10"/>
    </row>
    <row r="227">
      <c r="A227" s="35"/>
      <c r="B227" s="35"/>
      <c r="C227" s="35"/>
      <c r="L227" s="10"/>
      <c r="M227" s="10"/>
      <c r="N227" s="10"/>
    </row>
    <row r="228">
      <c r="A228" s="35"/>
      <c r="B228" s="35"/>
      <c r="C228" s="35"/>
      <c r="L228" s="10"/>
      <c r="M228" s="10"/>
      <c r="N228" s="10"/>
    </row>
    <row r="229">
      <c r="A229" s="35"/>
      <c r="B229" s="35"/>
      <c r="C229" s="35"/>
      <c r="L229" s="10"/>
      <c r="M229" s="10"/>
      <c r="N229" s="10"/>
    </row>
    <row r="230">
      <c r="A230" s="35"/>
      <c r="B230" s="35"/>
      <c r="C230" s="35"/>
      <c r="L230" s="10"/>
      <c r="M230" s="10"/>
      <c r="N230" s="10"/>
    </row>
    <row r="231">
      <c r="A231" s="35"/>
      <c r="B231" s="35"/>
      <c r="C231" s="35"/>
      <c r="L231" s="10"/>
      <c r="M231" s="10"/>
      <c r="N231" s="10"/>
    </row>
    <row r="232">
      <c r="A232" s="35"/>
      <c r="B232" s="35"/>
      <c r="C232" s="35"/>
      <c r="L232" s="10"/>
      <c r="M232" s="10"/>
      <c r="N232" s="10"/>
    </row>
    <row r="233">
      <c r="A233" s="35"/>
      <c r="B233" s="35"/>
      <c r="C233" s="35"/>
      <c r="L233" s="10"/>
      <c r="M233" s="10"/>
      <c r="N233" s="10"/>
    </row>
    <row r="234">
      <c r="A234" s="35"/>
      <c r="B234" s="35"/>
      <c r="C234" s="35"/>
      <c r="L234" s="10"/>
      <c r="M234" s="10"/>
      <c r="N234" s="10"/>
    </row>
    <row r="235">
      <c r="A235" s="35"/>
      <c r="B235" s="35"/>
      <c r="C235" s="35"/>
      <c r="L235" s="10"/>
      <c r="M235" s="10"/>
      <c r="N235" s="10"/>
    </row>
    <row r="236">
      <c r="A236" s="35"/>
      <c r="B236" s="35"/>
      <c r="C236" s="35"/>
      <c r="L236" s="10"/>
      <c r="M236" s="10"/>
      <c r="N236" s="10"/>
    </row>
    <row r="237">
      <c r="A237" s="35"/>
      <c r="B237" s="35"/>
      <c r="C237" s="35"/>
      <c r="L237" s="10"/>
      <c r="M237" s="10"/>
      <c r="N237" s="10"/>
    </row>
    <row r="238">
      <c r="A238" s="35"/>
      <c r="B238" s="35"/>
      <c r="C238" s="35"/>
      <c r="L238" s="10"/>
      <c r="M238" s="10"/>
      <c r="N238" s="10"/>
    </row>
    <row r="239">
      <c r="A239" s="35"/>
      <c r="B239" s="35"/>
      <c r="C239" s="35"/>
      <c r="L239" s="10"/>
      <c r="M239" s="10"/>
      <c r="N239" s="10"/>
    </row>
    <row r="240">
      <c r="A240" s="35"/>
      <c r="B240" s="35"/>
      <c r="C240" s="35"/>
      <c r="L240" s="10"/>
      <c r="M240" s="10"/>
      <c r="N240" s="10"/>
    </row>
    <row r="241">
      <c r="A241" s="35"/>
      <c r="B241" s="35"/>
      <c r="C241" s="35"/>
      <c r="L241" s="10"/>
      <c r="M241" s="10"/>
      <c r="N241" s="10"/>
    </row>
    <row r="242">
      <c r="A242" s="35"/>
      <c r="B242" s="35"/>
      <c r="C242" s="35"/>
      <c r="L242" s="10"/>
      <c r="M242" s="10"/>
      <c r="N242" s="10"/>
    </row>
    <row r="243">
      <c r="A243" s="35"/>
      <c r="B243" s="35"/>
      <c r="C243" s="35"/>
      <c r="L243" s="10"/>
      <c r="M243" s="10"/>
      <c r="N243" s="10"/>
    </row>
    <row r="244">
      <c r="A244" s="35"/>
      <c r="B244" s="35"/>
      <c r="C244" s="35"/>
      <c r="L244" s="10"/>
      <c r="M244" s="10"/>
      <c r="N244" s="10"/>
    </row>
    <row r="245">
      <c r="A245" s="35"/>
      <c r="B245" s="35"/>
      <c r="C245" s="35"/>
      <c r="L245" s="10"/>
      <c r="M245" s="10"/>
      <c r="N245" s="10"/>
    </row>
    <row r="246">
      <c r="A246" s="35"/>
      <c r="B246" s="35"/>
      <c r="C246" s="35"/>
      <c r="L246" s="10"/>
      <c r="M246" s="10"/>
      <c r="N246" s="10"/>
    </row>
    <row r="247">
      <c r="A247" s="35"/>
      <c r="B247" s="35"/>
      <c r="C247" s="35"/>
      <c r="L247" s="10"/>
      <c r="M247" s="10"/>
      <c r="N247" s="10"/>
    </row>
    <row r="248">
      <c r="A248" s="35"/>
      <c r="B248" s="35"/>
      <c r="C248" s="35"/>
      <c r="L248" s="10"/>
      <c r="M248" s="10"/>
      <c r="N248" s="10"/>
    </row>
    <row r="249">
      <c r="A249" s="35"/>
      <c r="B249" s="35"/>
      <c r="C249" s="35"/>
      <c r="L249" s="10"/>
      <c r="M249" s="10"/>
      <c r="N249" s="10"/>
    </row>
    <row r="250">
      <c r="A250" s="35"/>
      <c r="B250" s="35"/>
      <c r="C250" s="35"/>
      <c r="L250" s="10"/>
      <c r="M250" s="10"/>
      <c r="N250" s="10"/>
    </row>
    <row r="251">
      <c r="A251" s="35"/>
      <c r="B251" s="35"/>
      <c r="C251" s="35"/>
      <c r="L251" s="10"/>
      <c r="M251" s="10"/>
      <c r="N251" s="10"/>
    </row>
    <row r="252">
      <c r="A252" s="35"/>
      <c r="B252" s="35"/>
      <c r="C252" s="35"/>
      <c r="L252" s="10"/>
      <c r="M252" s="10"/>
      <c r="N252" s="10"/>
    </row>
    <row r="253">
      <c r="A253" s="35"/>
      <c r="B253" s="35"/>
      <c r="C253" s="35"/>
      <c r="L253" s="10"/>
      <c r="M253" s="10"/>
      <c r="N253" s="10"/>
    </row>
    <row r="254">
      <c r="A254" s="35"/>
      <c r="B254" s="35"/>
      <c r="C254" s="35"/>
      <c r="L254" s="10"/>
      <c r="M254" s="10"/>
      <c r="N254" s="10"/>
    </row>
    <row r="255">
      <c r="A255" s="35"/>
      <c r="B255" s="35"/>
      <c r="C255" s="35"/>
      <c r="L255" s="10"/>
      <c r="M255" s="10"/>
      <c r="N255" s="10"/>
    </row>
    <row r="256">
      <c r="A256" s="35"/>
      <c r="B256" s="35"/>
      <c r="C256" s="35"/>
      <c r="L256" s="10"/>
      <c r="M256" s="10"/>
      <c r="N256" s="10"/>
    </row>
    <row r="257">
      <c r="A257" s="35"/>
      <c r="B257" s="35"/>
      <c r="C257" s="35"/>
      <c r="L257" s="10"/>
      <c r="M257" s="10"/>
      <c r="N257" s="10"/>
    </row>
    <row r="258">
      <c r="A258" s="35"/>
      <c r="B258" s="35"/>
      <c r="C258" s="35"/>
      <c r="L258" s="10"/>
      <c r="M258" s="10"/>
      <c r="N258" s="10"/>
    </row>
    <row r="259">
      <c r="A259" s="35"/>
      <c r="B259" s="35"/>
      <c r="C259" s="35"/>
      <c r="L259" s="10"/>
      <c r="M259" s="10"/>
      <c r="N259" s="10"/>
    </row>
    <row r="260">
      <c r="A260" s="35"/>
      <c r="B260" s="35"/>
      <c r="C260" s="35"/>
      <c r="L260" s="10"/>
      <c r="M260" s="10"/>
      <c r="N260" s="10"/>
    </row>
    <row r="261">
      <c r="A261" s="35"/>
      <c r="B261" s="35"/>
      <c r="C261" s="35"/>
      <c r="L261" s="10"/>
      <c r="M261" s="10"/>
      <c r="N261" s="10"/>
    </row>
    <row r="262">
      <c r="A262" s="35"/>
      <c r="B262" s="35"/>
      <c r="C262" s="35"/>
      <c r="L262" s="10"/>
      <c r="M262" s="10"/>
      <c r="N262" s="10"/>
    </row>
    <row r="263">
      <c r="A263" s="35"/>
      <c r="B263" s="35"/>
      <c r="C263" s="35"/>
      <c r="L263" s="10"/>
      <c r="M263" s="10"/>
      <c r="N263" s="10"/>
    </row>
    <row r="264">
      <c r="A264" s="35"/>
      <c r="B264" s="35"/>
      <c r="C264" s="35"/>
      <c r="L264" s="10"/>
      <c r="M264" s="10"/>
      <c r="N264" s="10"/>
    </row>
    <row r="265">
      <c r="A265" s="35"/>
      <c r="B265" s="35"/>
      <c r="C265" s="35"/>
      <c r="L265" s="10"/>
      <c r="M265" s="10"/>
      <c r="N265" s="10"/>
    </row>
    <row r="266">
      <c r="A266" s="35"/>
      <c r="B266" s="35"/>
      <c r="C266" s="35"/>
      <c r="L266" s="10"/>
      <c r="M266" s="10"/>
      <c r="N266" s="10"/>
    </row>
    <row r="267">
      <c r="A267" s="35"/>
      <c r="B267" s="35"/>
      <c r="C267" s="35"/>
      <c r="L267" s="10"/>
      <c r="M267" s="10"/>
      <c r="N267" s="10"/>
    </row>
    <row r="268">
      <c r="A268" s="35"/>
      <c r="B268" s="35"/>
      <c r="C268" s="35"/>
      <c r="L268" s="10"/>
      <c r="M268" s="10"/>
      <c r="N268" s="10"/>
    </row>
    <row r="269">
      <c r="A269" s="35"/>
      <c r="B269" s="35"/>
      <c r="C269" s="35"/>
      <c r="L269" s="10"/>
      <c r="M269" s="10"/>
      <c r="N269" s="10"/>
    </row>
    <row r="270">
      <c r="A270" s="35"/>
      <c r="B270" s="35"/>
      <c r="C270" s="35"/>
      <c r="L270" s="10"/>
      <c r="M270" s="10"/>
      <c r="N270" s="10"/>
    </row>
    <row r="271">
      <c r="A271" s="35"/>
      <c r="B271" s="35"/>
      <c r="C271" s="35"/>
      <c r="L271" s="10"/>
      <c r="M271" s="10"/>
      <c r="N271" s="10"/>
    </row>
    <row r="272">
      <c r="A272" s="35"/>
      <c r="B272" s="35"/>
      <c r="C272" s="35"/>
      <c r="L272" s="10"/>
      <c r="M272" s="10"/>
      <c r="N272" s="10"/>
    </row>
    <row r="273">
      <c r="A273" s="35"/>
      <c r="B273" s="35"/>
      <c r="C273" s="35"/>
      <c r="L273" s="10"/>
      <c r="M273" s="10"/>
      <c r="N273" s="10"/>
    </row>
    <row r="274">
      <c r="A274" s="35"/>
      <c r="B274" s="35"/>
      <c r="C274" s="35"/>
      <c r="L274" s="10"/>
      <c r="M274" s="10"/>
      <c r="N274" s="10"/>
    </row>
    <row r="275">
      <c r="A275" s="35"/>
      <c r="B275" s="35"/>
      <c r="C275" s="35"/>
      <c r="L275" s="10"/>
      <c r="M275" s="10"/>
      <c r="N275" s="10"/>
    </row>
    <row r="276">
      <c r="A276" s="35"/>
      <c r="B276" s="35"/>
      <c r="C276" s="35"/>
      <c r="L276" s="10"/>
      <c r="M276" s="10"/>
      <c r="N276" s="10"/>
    </row>
    <row r="277">
      <c r="A277" s="35"/>
      <c r="B277" s="35"/>
      <c r="C277" s="35"/>
      <c r="L277" s="10"/>
      <c r="M277" s="10"/>
      <c r="N277" s="10"/>
    </row>
    <row r="278">
      <c r="A278" s="35"/>
      <c r="B278" s="35"/>
      <c r="C278" s="35"/>
      <c r="L278" s="10"/>
      <c r="M278" s="10"/>
      <c r="N278" s="10"/>
    </row>
    <row r="279">
      <c r="A279" s="35"/>
      <c r="B279" s="35"/>
      <c r="C279" s="35"/>
      <c r="L279" s="10"/>
      <c r="M279" s="10"/>
      <c r="N279" s="10"/>
    </row>
    <row r="280">
      <c r="A280" s="35"/>
      <c r="B280" s="35"/>
      <c r="C280" s="35"/>
      <c r="L280" s="10"/>
      <c r="M280" s="10"/>
      <c r="N280" s="10"/>
    </row>
    <row r="281">
      <c r="A281" s="35"/>
      <c r="B281" s="35"/>
      <c r="C281" s="35"/>
      <c r="L281" s="10"/>
      <c r="M281" s="10"/>
      <c r="N281" s="10"/>
    </row>
    <row r="282">
      <c r="A282" s="35"/>
      <c r="B282" s="35"/>
      <c r="C282" s="35"/>
      <c r="L282" s="10"/>
      <c r="M282" s="10"/>
      <c r="N282" s="10"/>
    </row>
    <row r="283">
      <c r="A283" s="35"/>
      <c r="B283" s="35"/>
      <c r="C283" s="35"/>
      <c r="L283" s="10"/>
      <c r="M283" s="10"/>
      <c r="N283" s="10"/>
    </row>
    <row r="284">
      <c r="A284" s="35"/>
      <c r="B284" s="35"/>
      <c r="C284" s="35"/>
      <c r="L284" s="10"/>
      <c r="M284" s="10"/>
      <c r="N284" s="10"/>
    </row>
    <row r="285">
      <c r="A285" s="35"/>
      <c r="B285" s="35"/>
      <c r="C285" s="35"/>
      <c r="L285" s="10"/>
      <c r="M285" s="10"/>
      <c r="N285" s="10"/>
    </row>
    <row r="286">
      <c r="A286" s="35"/>
      <c r="B286" s="35"/>
      <c r="C286" s="35"/>
      <c r="L286" s="10"/>
      <c r="M286" s="10"/>
      <c r="N286" s="10"/>
    </row>
    <row r="287">
      <c r="A287" s="35"/>
      <c r="B287" s="35"/>
      <c r="C287" s="35"/>
      <c r="L287" s="10"/>
      <c r="M287" s="10"/>
      <c r="N287" s="10"/>
    </row>
    <row r="288">
      <c r="A288" s="35"/>
      <c r="B288" s="35"/>
      <c r="C288" s="35"/>
      <c r="L288" s="10"/>
      <c r="M288" s="10"/>
      <c r="N288" s="10"/>
    </row>
    <row r="289">
      <c r="A289" s="35"/>
      <c r="B289" s="35"/>
      <c r="C289" s="35"/>
      <c r="L289" s="10"/>
      <c r="M289" s="10"/>
      <c r="N289" s="10"/>
    </row>
    <row r="290">
      <c r="A290" s="35"/>
      <c r="B290" s="35"/>
      <c r="C290" s="35"/>
      <c r="L290" s="10"/>
      <c r="M290" s="10"/>
      <c r="N290" s="10"/>
    </row>
    <row r="291">
      <c r="A291" s="35"/>
      <c r="B291" s="35"/>
      <c r="C291" s="35"/>
      <c r="L291" s="10"/>
      <c r="M291" s="10"/>
      <c r="N291" s="10"/>
    </row>
    <row r="292">
      <c r="A292" s="35"/>
      <c r="B292" s="35"/>
      <c r="C292" s="35"/>
      <c r="L292" s="10"/>
      <c r="M292" s="10"/>
      <c r="N292" s="10"/>
    </row>
    <row r="293">
      <c r="A293" s="35"/>
      <c r="B293" s="35"/>
      <c r="C293" s="35"/>
      <c r="L293" s="10"/>
      <c r="M293" s="10"/>
      <c r="N293" s="10"/>
    </row>
    <row r="294">
      <c r="A294" s="35"/>
      <c r="B294" s="35"/>
      <c r="C294" s="35"/>
      <c r="L294" s="10"/>
      <c r="M294" s="10"/>
      <c r="N294" s="10"/>
    </row>
    <row r="295">
      <c r="A295" s="35"/>
      <c r="B295" s="35"/>
      <c r="C295" s="35"/>
      <c r="L295" s="10"/>
      <c r="M295" s="10"/>
      <c r="N295" s="10"/>
    </row>
    <row r="296">
      <c r="A296" s="35"/>
      <c r="B296" s="35"/>
      <c r="C296" s="35"/>
      <c r="L296" s="10"/>
      <c r="M296" s="10"/>
      <c r="N296" s="10"/>
    </row>
    <row r="297">
      <c r="A297" s="35"/>
      <c r="B297" s="35"/>
      <c r="C297" s="35"/>
      <c r="L297" s="10"/>
      <c r="M297" s="10"/>
      <c r="N297" s="10"/>
    </row>
    <row r="298">
      <c r="A298" s="35"/>
      <c r="B298" s="35"/>
      <c r="C298" s="35"/>
      <c r="L298" s="10"/>
      <c r="M298" s="10"/>
      <c r="N298" s="10"/>
    </row>
    <row r="299">
      <c r="A299" s="35"/>
      <c r="B299" s="35"/>
      <c r="C299" s="35"/>
      <c r="L299" s="10"/>
      <c r="M299" s="10"/>
      <c r="N299" s="10"/>
    </row>
    <row r="300">
      <c r="A300" s="35"/>
      <c r="B300" s="35"/>
      <c r="C300" s="35"/>
      <c r="L300" s="10"/>
      <c r="M300" s="10"/>
      <c r="N300" s="10"/>
    </row>
    <row r="301">
      <c r="A301" s="35"/>
      <c r="B301" s="35"/>
      <c r="C301" s="35"/>
      <c r="L301" s="10"/>
      <c r="M301" s="10"/>
      <c r="N301" s="10"/>
    </row>
    <row r="302">
      <c r="A302" s="35"/>
      <c r="B302" s="35"/>
      <c r="C302" s="35"/>
      <c r="L302" s="10"/>
      <c r="M302" s="10"/>
      <c r="N302" s="10"/>
    </row>
    <row r="303">
      <c r="A303" s="35"/>
      <c r="B303" s="35"/>
      <c r="C303" s="35"/>
      <c r="L303" s="10"/>
      <c r="M303" s="10"/>
      <c r="N303" s="10"/>
    </row>
    <row r="304">
      <c r="A304" s="35"/>
      <c r="B304" s="35"/>
      <c r="C304" s="35"/>
      <c r="L304" s="10"/>
      <c r="M304" s="10"/>
      <c r="N304" s="10"/>
    </row>
    <row r="305">
      <c r="A305" s="35"/>
      <c r="B305" s="35"/>
      <c r="C305" s="35"/>
      <c r="L305" s="10"/>
      <c r="M305" s="10"/>
      <c r="N305" s="10"/>
    </row>
    <row r="306">
      <c r="A306" s="35"/>
      <c r="B306" s="35"/>
      <c r="C306" s="35"/>
      <c r="L306" s="10"/>
      <c r="M306" s="10"/>
      <c r="N306" s="10"/>
    </row>
    <row r="307">
      <c r="A307" s="35"/>
      <c r="B307" s="35"/>
      <c r="C307" s="35"/>
      <c r="L307" s="10"/>
      <c r="M307" s="10"/>
      <c r="N307" s="10"/>
    </row>
    <row r="308">
      <c r="A308" s="35"/>
      <c r="B308" s="35"/>
      <c r="C308" s="35"/>
      <c r="L308" s="10"/>
      <c r="M308" s="10"/>
      <c r="N308" s="10"/>
    </row>
    <row r="309">
      <c r="A309" s="35"/>
      <c r="B309" s="35"/>
      <c r="C309" s="35"/>
      <c r="L309" s="10"/>
      <c r="M309" s="10"/>
      <c r="N309" s="10"/>
    </row>
    <row r="310">
      <c r="A310" s="35"/>
      <c r="B310" s="35"/>
      <c r="C310" s="35"/>
      <c r="L310" s="10"/>
      <c r="M310" s="10"/>
      <c r="N310" s="10"/>
    </row>
    <row r="311">
      <c r="A311" s="35"/>
      <c r="B311" s="35"/>
      <c r="C311" s="35"/>
      <c r="L311" s="10"/>
      <c r="M311" s="10"/>
      <c r="N311" s="10"/>
    </row>
    <row r="312">
      <c r="A312" s="35"/>
      <c r="B312" s="35"/>
      <c r="C312" s="35"/>
      <c r="L312" s="10"/>
      <c r="M312" s="10"/>
      <c r="N312" s="10"/>
    </row>
    <row r="313">
      <c r="A313" s="35"/>
      <c r="B313" s="35"/>
      <c r="C313" s="35"/>
      <c r="L313" s="10"/>
      <c r="M313" s="10"/>
      <c r="N313" s="10"/>
    </row>
    <row r="314">
      <c r="A314" s="35"/>
      <c r="B314" s="35"/>
      <c r="C314" s="35"/>
      <c r="L314" s="10"/>
      <c r="M314" s="10"/>
      <c r="N314" s="10"/>
    </row>
    <row r="315">
      <c r="A315" s="35"/>
      <c r="B315" s="35"/>
      <c r="C315" s="35"/>
      <c r="L315" s="10"/>
      <c r="M315" s="10"/>
      <c r="N315" s="10"/>
    </row>
    <row r="316">
      <c r="A316" s="35"/>
      <c r="B316" s="35"/>
      <c r="C316" s="35"/>
      <c r="L316" s="10"/>
      <c r="M316" s="10"/>
      <c r="N316" s="10"/>
    </row>
    <row r="317">
      <c r="A317" s="35"/>
      <c r="B317" s="35"/>
      <c r="C317" s="35"/>
      <c r="L317" s="10"/>
      <c r="M317" s="10"/>
      <c r="N317" s="10"/>
    </row>
    <row r="318">
      <c r="A318" s="35"/>
      <c r="B318" s="35"/>
      <c r="C318" s="35"/>
      <c r="L318" s="10"/>
      <c r="M318" s="10"/>
      <c r="N318" s="10"/>
    </row>
    <row r="319">
      <c r="A319" s="35"/>
      <c r="B319" s="35"/>
      <c r="C319" s="35"/>
      <c r="L319" s="10"/>
      <c r="M319" s="10"/>
      <c r="N319" s="10"/>
    </row>
    <row r="320">
      <c r="A320" s="35"/>
      <c r="B320" s="35"/>
      <c r="C320" s="35"/>
      <c r="L320" s="10"/>
      <c r="M320" s="10"/>
      <c r="N320" s="10"/>
    </row>
    <row r="321">
      <c r="A321" s="35"/>
      <c r="B321" s="35"/>
      <c r="C321" s="35"/>
      <c r="L321" s="10"/>
      <c r="M321" s="10"/>
      <c r="N321" s="10"/>
    </row>
    <row r="322">
      <c r="A322" s="35"/>
      <c r="B322" s="35"/>
      <c r="C322" s="35"/>
      <c r="L322" s="10"/>
      <c r="M322" s="10"/>
      <c r="N322" s="10"/>
    </row>
    <row r="323">
      <c r="A323" s="35"/>
      <c r="B323" s="35"/>
      <c r="C323" s="35"/>
      <c r="L323" s="10"/>
      <c r="M323" s="10"/>
      <c r="N323" s="10"/>
    </row>
    <row r="324">
      <c r="A324" s="35"/>
      <c r="B324" s="35"/>
      <c r="C324" s="35"/>
      <c r="L324" s="10"/>
      <c r="M324" s="10"/>
      <c r="N324" s="10"/>
    </row>
    <row r="325">
      <c r="A325" s="35"/>
      <c r="B325" s="35"/>
      <c r="C325" s="35"/>
      <c r="L325" s="10"/>
      <c r="M325" s="10"/>
      <c r="N325" s="10"/>
    </row>
    <row r="326">
      <c r="A326" s="35"/>
      <c r="B326" s="35"/>
      <c r="C326" s="35"/>
      <c r="L326" s="10"/>
      <c r="M326" s="10"/>
      <c r="N326" s="10"/>
    </row>
    <row r="327">
      <c r="A327" s="35"/>
      <c r="B327" s="35"/>
      <c r="C327" s="35"/>
      <c r="L327" s="10"/>
      <c r="M327" s="10"/>
      <c r="N327" s="10"/>
    </row>
    <row r="328">
      <c r="A328" s="35"/>
      <c r="B328" s="35"/>
      <c r="C328" s="35"/>
      <c r="L328" s="10"/>
      <c r="M328" s="10"/>
      <c r="N328" s="10"/>
    </row>
    <row r="329">
      <c r="A329" s="35"/>
      <c r="B329" s="35"/>
      <c r="C329" s="35"/>
      <c r="L329" s="10"/>
      <c r="M329" s="10"/>
      <c r="N329" s="10"/>
    </row>
    <row r="330">
      <c r="A330" s="35"/>
      <c r="B330" s="35"/>
      <c r="C330" s="35"/>
      <c r="L330" s="10"/>
      <c r="M330" s="10"/>
      <c r="N330" s="10"/>
    </row>
    <row r="331">
      <c r="A331" s="35"/>
      <c r="B331" s="35"/>
      <c r="C331" s="35"/>
      <c r="L331" s="10"/>
      <c r="M331" s="10"/>
      <c r="N331" s="10"/>
    </row>
    <row r="332">
      <c r="A332" s="35"/>
      <c r="B332" s="35"/>
      <c r="C332" s="35"/>
      <c r="L332" s="10"/>
      <c r="M332" s="10"/>
      <c r="N332" s="10"/>
    </row>
    <row r="333">
      <c r="A333" s="35"/>
      <c r="B333" s="35"/>
      <c r="C333" s="35"/>
      <c r="L333" s="10"/>
      <c r="M333" s="10"/>
      <c r="N333" s="10"/>
    </row>
    <row r="334">
      <c r="A334" s="35"/>
      <c r="B334" s="35"/>
      <c r="C334" s="35"/>
      <c r="L334" s="10"/>
      <c r="M334" s="10"/>
      <c r="N334" s="10"/>
    </row>
    <row r="335">
      <c r="A335" s="35"/>
      <c r="B335" s="35"/>
      <c r="C335" s="35"/>
      <c r="L335" s="10"/>
      <c r="M335" s="10"/>
      <c r="N335" s="10"/>
    </row>
    <row r="336">
      <c r="A336" s="35"/>
      <c r="B336" s="35"/>
      <c r="C336" s="35"/>
      <c r="L336" s="10"/>
      <c r="M336" s="10"/>
      <c r="N336" s="10"/>
    </row>
    <row r="337">
      <c r="A337" s="35"/>
      <c r="B337" s="35"/>
      <c r="C337" s="35"/>
      <c r="L337" s="10"/>
      <c r="M337" s="10"/>
      <c r="N337" s="10"/>
    </row>
    <row r="338">
      <c r="A338" s="35"/>
      <c r="B338" s="35"/>
      <c r="C338" s="35"/>
      <c r="L338" s="10"/>
      <c r="M338" s="10"/>
      <c r="N338" s="10"/>
    </row>
    <row r="339">
      <c r="A339" s="35"/>
      <c r="B339" s="35"/>
      <c r="C339" s="35"/>
      <c r="L339" s="10"/>
      <c r="M339" s="10"/>
      <c r="N339" s="10"/>
    </row>
    <row r="340">
      <c r="A340" s="35"/>
      <c r="B340" s="35"/>
      <c r="C340" s="35"/>
      <c r="L340" s="10"/>
      <c r="M340" s="10"/>
      <c r="N340" s="10"/>
    </row>
    <row r="341">
      <c r="A341" s="35"/>
      <c r="B341" s="35"/>
      <c r="C341" s="35"/>
      <c r="L341" s="10"/>
      <c r="M341" s="10"/>
      <c r="N341" s="10"/>
    </row>
    <row r="342">
      <c r="A342" s="35"/>
      <c r="B342" s="35"/>
      <c r="C342" s="35"/>
      <c r="L342" s="10"/>
      <c r="M342" s="10"/>
      <c r="N342" s="10"/>
    </row>
    <row r="343">
      <c r="A343" s="35"/>
      <c r="B343" s="35"/>
      <c r="C343" s="35"/>
      <c r="L343" s="10"/>
      <c r="M343" s="10"/>
      <c r="N343" s="10"/>
    </row>
    <row r="344">
      <c r="A344" s="35"/>
      <c r="B344" s="35"/>
      <c r="C344" s="35"/>
      <c r="L344" s="10"/>
      <c r="M344" s="10"/>
      <c r="N344" s="10"/>
    </row>
    <row r="345">
      <c r="A345" s="35"/>
      <c r="B345" s="35"/>
      <c r="C345" s="35"/>
      <c r="L345" s="10"/>
      <c r="M345" s="10"/>
      <c r="N345" s="10"/>
    </row>
    <row r="346">
      <c r="A346" s="35"/>
      <c r="B346" s="35"/>
      <c r="C346" s="35"/>
      <c r="L346" s="10"/>
      <c r="M346" s="10"/>
      <c r="N346" s="10"/>
    </row>
    <row r="347">
      <c r="A347" s="35"/>
      <c r="B347" s="35"/>
      <c r="C347" s="35"/>
      <c r="L347" s="10"/>
      <c r="M347" s="10"/>
      <c r="N347" s="10"/>
    </row>
    <row r="348">
      <c r="A348" s="35"/>
      <c r="B348" s="35"/>
      <c r="C348" s="35"/>
      <c r="L348" s="10"/>
      <c r="M348" s="10"/>
      <c r="N348" s="10"/>
    </row>
    <row r="349">
      <c r="A349" s="35"/>
      <c r="B349" s="35"/>
      <c r="C349" s="35"/>
      <c r="L349" s="10"/>
      <c r="M349" s="10"/>
      <c r="N349" s="10"/>
    </row>
    <row r="350">
      <c r="A350" s="35"/>
      <c r="B350" s="35"/>
      <c r="C350" s="35"/>
      <c r="L350" s="10"/>
      <c r="M350" s="10"/>
      <c r="N350" s="10"/>
    </row>
    <row r="351">
      <c r="A351" s="35"/>
      <c r="B351" s="35"/>
      <c r="C351" s="35"/>
      <c r="L351" s="10"/>
      <c r="M351" s="10"/>
      <c r="N351" s="10"/>
    </row>
    <row r="352">
      <c r="A352" s="35"/>
      <c r="B352" s="35"/>
      <c r="C352" s="35"/>
      <c r="L352" s="10"/>
      <c r="M352" s="10"/>
      <c r="N352" s="10"/>
    </row>
    <row r="353">
      <c r="A353" s="35"/>
      <c r="B353" s="35"/>
      <c r="C353" s="35"/>
      <c r="L353" s="10"/>
      <c r="M353" s="10"/>
      <c r="N353" s="10"/>
    </row>
    <row r="354">
      <c r="A354" s="35"/>
      <c r="B354" s="35"/>
      <c r="C354" s="35"/>
      <c r="L354" s="10"/>
      <c r="M354" s="10"/>
      <c r="N354" s="10"/>
    </row>
    <row r="355">
      <c r="A355" s="35"/>
      <c r="B355" s="35"/>
      <c r="C355" s="35"/>
      <c r="L355" s="10"/>
      <c r="M355" s="10"/>
      <c r="N355" s="10"/>
    </row>
    <row r="356">
      <c r="A356" s="35"/>
      <c r="B356" s="35"/>
      <c r="C356" s="35"/>
      <c r="L356" s="10"/>
      <c r="M356" s="10"/>
      <c r="N356" s="10"/>
    </row>
    <row r="357">
      <c r="A357" s="35"/>
      <c r="B357" s="35"/>
      <c r="C357" s="35"/>
      <c r="L357" s="10"/>
      <c r="M357" s="10"/>
      <c r="N357" s="10"/>
    </row>
    <row r="358">
      <c r="A358" s="35"/>
      <c r="B358" s="35"/>
      <c r="C358" s="35"/>
      <c r="L358" s="10"/>
      <c r="M358" s="10"/>
      <c r="N358" s="10"/>
    </row>
    <row r="359">
      <c r="A359" s="35"/>
      <c r="B359" s="35"/>
      <c r="C359" s="35"/>
      <c r="L359" s="10"/>
      <c r="M359" s="10"/>
      <c r="N359" s="10"/>
    </row>
    <row r="360">
      <c r="A360" s="35"/>
      <c r="B360" s="35"/>
      <c r="C360" s="35"/>
      <c r="L360" s="10"/>
      <c r="M360" s="10"/>
      <c r="N360" s="10"/>
    </row>
    <row r="361">
      <c r="A361" s="35"/>
      <c r="B361" s="35"/>
      <c r="C361" s="35"/>
      <c r="L361" s="10"/>
      <c r="M361" s="10"/>
      <c r="N361" s="10"/>
    </row>
    <row r="362">
      <c r="A362" s="35"/>
      <c r="B362" s="35"/>
      <c r="C362" s="35"/>
      <c r="L362" s="10"/>
      <c r="M362" s="10"/>
      <c r="N362" s="10"/>
    </row>
    <row r="363">
      <c r="A363" s="35"/>
      <c r="B363" s="35"/>
      <c r="C363" s="35"/>
      <c r="L363" s="10"/>
      <c r="M363" s="10"/>
      <c r="N363" s="10"/>
    </row>
    <row r="364">
      <c r="A364" s="35"/>
      <c r="B364" s="35"/>
      <c r="C364" s="35"/>
      <c r="L364" s="10"/>
      <c r="M364" s="10"/>
      <c r="N364" s="10"/>
    </row>
    <row r="365">
      <c r="A365" s="35"/>
      <c r="B365" s="35"/>
      <c r="C365" s="35"/>
      <c r="L365" s="10"/>
      <c r="M365" s="10"/>
      <c r="N365" s="10"/>
    </row>
    <row r="366">
      <c r="A366" s="35"/>
      <c r="B366" s="35"/>
      <c r="C366" s="35"/>
      <c r="L366" s="10"/>
      <c r="M366" s="10"/>
      <c r="N366" s="10"/>
    </row>
    <row r="367">
      <c r="A367" s="35"/>
      <c r="B367" s="35"/>
      <c r="C367" s="35"/>
      <c r="L367" s="10"/>
      <c r="M367" s="10"/>
      <c r="N367" s="10"/>
    </row>
    <row r="368">
      <c r="A368" s="35"/>
      <c r="B368" s="35"/>
      <c r="C368" s="35"/>
      <c r="L368" s="10"/>
      <c r="M368" s="10"/>
      <c r="N368" s="10"/>
    </row>
    <row r="369">
      <c r="A369" s="35"/>
      <c r="B369" s="35"/>
      <c r="C369" s="35"/>
      <c r="L369" s="10"/>
      <c r="M369" s="10"/>
      <c r="N369" s="10"/>
    </row>
    <row r="370">
      <c r="A370" s="35"/>
      <c r="B370" s="35"/>
      <c r="C370" s="35"/>
      <c r="L370" s="10"/>
      <c r="M370" s="10"/>
      <c r="N370" s="10"/>
    </row>
    <row r="371">
      <c r="A371" s="35"/>
      <c r="B371" s="35"/>
      <c r="C371" s="35"/>
      <c r="L371" s="10"/>
      <c r="M371" s="10"/>
      <c r="N371" s="10"/>
    </row>
    <row r="372">
      <c r="A372" s="35"/>
      <c r="B372" s="35"/>
      <c r="C372" s="35"/>
      <c r="L372" s="10"/>
      <c r="M372" s="10"/>
      <c r="N372" s="10"/>
    </row>
    <row r="373">
      <c r="A373" s="35"/>
      <c r="B373" s="35"/>
      <c r="C373" s="35"/>
      <c r="L373" s="10"/>
      <c r="M373" s="10"/>
      <c r="N373" s="10"/>
    </row>
    <row r="374">
      <c r="A374" s="35"/>
      <c r="B374" s="35"/>
      <c r="C374" s="35"/>
      <c r="L374" s="10"/>
      <c r="M374" s="10"/>
      <c r="N374" s="10"/>
    </row>
    <row r="375">
      <c r="A375" s="35"/>
      <c r="B375" s="35"/>
      <c r="C375" s="35"/>
      <c r="L375" s="10"/>
      <c r="M375" s="10"/>
      <c r="N375" s="10"/>
    </row>
    <row r="376">
      <c r="A376" s="35"/>
      <c r="B376" s="35"/>
      <c r="C376" s="35"/>
      <c r="L376" s="10"/>
      <c r="M376" s="10"/>
      <c r="N376" s="10"/>
    </row>
    <row r="377">
      <c r="A377" s="35"/>
      <c r="B377" s="35"/>
      <c r="C377" s="35"/>
      <c r="L377" s="10"/>
      <c r="M377" s="10"/>
      <c r="N377" s="10"/>
    </row>
    <row r="378">
      <c r="A378" s="35"/>
      <c r="B378" s="35"/>
      <c r="C378" s="35"/>
      <c r="L378" s="10"/>
      <c r="M378" s="10"/>
      <c r="N378" s="10"/>
    </row>
    <row r="379">
      <c r="A379" s="35"/>
      <c r="B379" s="35"/>
      <c r="C379" s="35"/>
      <c r="L379" s="10"/>
      <c r="M379" s="10"/>
      <c r="N379" s="10"/>
    </row>
    <row r="380">
      <c r="A380" s="35"/>
      <c r="B380" s="35"/>
      <c r="C380" s="35"/>
      <c r="L380" s="10"/>
      <c r="M380" s="10"/>
      <c r="N380" s="10"/>
    </row>
    <row r="381">
      <c r="A381" s="35"/>
      <c r="B381" s="35"/>
      <c r="C381" s="35"/>
      <c r="L381" s="10"/>
      <c r="M381" s="10"/>
      <c r="N381" s="10"/>
    </row>
    <row r="382">
      <c r="A382" s="35"/>
      <c r="B382" s="35"/>
      <c r="C382" s="35"/>
      <c r="L382" s="10"/>
      <c r="M382" s="10"/>
      <c r="N382" s="10"/>
    </row>
    <row r="383">
      <c r="A383" s="35"/>
      <c r="B383" s="35"/>
      <c r="C383" s="35"/>
      <c r="L383" s="10"/>
      <c r="M383" s="10"/>
      <c r="N383" s="10"/>
    </row>
    <row r="384">
      <c r="A384" s="35"/>
      <c r="B384" s="35"/>
      <c r="C384" s="35"/>
      <c r="L384" s="10"/>
      <c r="M384" s="10"/>
      <c r="N384" s="10"/>
    </row>
    <row r="385">
      <c r="A385" s="35"/>
      <c r="B385" s="35"/>
      <c r="C385" s="35"/>
      <c r="L385" s="10"/>
      <c r="M385" s="10"/>
      <c r="N385" s="10"/>
    </row>
    <row r="386">
      <c r="A386" s="35"/>
      <c r="B386" s="35"/>
      <c r="C386" s="35"/>
      <c r="L386" s="10"/>
      <c r="M386" s="10"/>
      <c r="N386" s="10"/>
    </row>
    <row r="387">
      <c r="A387" s="35"/>
      <c r="B387" s="35"/>
      <c r="C387" s="35"/>
      <c r="L387" s="10"/>
      <c r="M387" s="10"/>
      <c r="N387" s="10"/>
    </row>
    <row r="388">
      <c r="A388" s="35"/>
      <c r="B388" s="35"/>
      <c r="C388" s="35"/>
      <c r="L388" s="10"/>
      <c r="M388" s="10"/>
      <c r="N388" s="10"/>
    </row>
    <row r="389">
      <c r="A389" s="35"/>
      <c r="B389" s="35"/>
      <c r="C389" s="35"/>
      <c r="L389" s="10"/>
      <c r="M389" s="10"/>
      <c r="N389" s="10"/>
    </row>
    <row r="390">
      <c r="A390" s="35"/>
      <c r="B390" s="35"/>
      <c r="C390" s="35"/>
      <c r="L390" s="10"/>
      <c r="M390" s="10"/>
      <c r="N390" s="10"/>
    </row>
    <row r="391">
      <c r="A391" s="35"/>
      <c r="B391" s="35"/>
      <c r="C391" s="35"/>
      <c r="L391" s="10"/>
      <c r="M391" s="10"/>
      <c r="N391" s="10"/>
    </row>
    <row r="392">
      <c r="A392" s="35"/>
      <c r="B392" s="35"/>
      <c r="C392" s="35"/>
      <c r="L392" s="10"/>
      <c r="M392" s="10"/>
      <c r="N392" s="10"/>
    </row>
    <row r="393">
      <c r="A393" s="35"/>
      <c r="B393" s="35"/>
      <c r="C393" s="35"/>
      <c r="L393" s="10"/>
      <c r="M393" s="10"/>
      <c r="N393" s="10"/>
    </row>
    <row r="394">
      <c r="A394" s="35"/>
      <c r="B394" s="35"/>
      <c r="C394" s="35"/>
      <c r="L394" s="10"/>
      <c r="M394" s="10"/>
      <c r="N394" s="10"/>
    </row>
    <row r="395">
      <c r="A395" s="35"/>
      <c r="B395" s="35"/>
      <c r="C395" s="35"/>
      <c r="L395" s="10"/>
      <c r="M395" s="10"/>
      <c r="N395" s="10"/>
    </row>
    <row r="396">
      <c r="A396" s="35"/>
      <c r="B396" s="35"/>
      <c r="C396" s="35"/>
      <c r="L396" s="10"/>
      <c r="M396" s="10"/>
      <c r="N396" s="10"/>
    </row>
    <row r="397">
      <c r="A397" s="35"/>
      <c r="B397" s="35"/>
      <c r="C397" s="35"/>
      <c r="L397" s="10"/>
      <c r="M397" s="10"/>
      <c r="N397" s="10"/>
    </row>
    <row r="398">
      <c r="A398" s="35"/>
      <c r="B398" s="35"/>
      <c r="C398" s="35"/>
      <c r="L398" s="10"/>
      <c r="M398" s="10"/>
      <c r="N398" s="10"/>
    </row>
    <row r="399">
      <c r="A399" s="35"/>
      <c r="B399" s="35"/>
      <c r="C399" s="35"/>
      <c r="L399" s="10"/>
      <c r="M399" s="10"/>
      <c r="N399" s="10"/>
    </row>
    <row r="400">
      <c r="A400" s="35"/>
      <c r="B400" s="35"/>
      <c r="C400" s="35"/>
      <c r="L400" s="10"/>
      <c r="M400" s="10"/>
      <c r="N400" s="10"/>
    </row>
    <row r="401">
      <c r="A401" s="35"/>
      <c r="B401" s="35"/>
      <c r="C401" s="35"/>
      <c r="L401" s="10"/>
      <c r="M401" s="10"/>
      <c r="N401" s="10"/>
    </row>
    <row r="402">
      <c r="A402" s="35"/>
      <c r="B402" s="35"/>
      <c r="C402" s="35"/>
      <c r="L402" s="10"/>
      <c r="M402" s="10"/>
      <c r="N402" s="10"/>
    </row>
    <row r="403">
      <c r="A403" s="35"/>
      <c r="B403" s="35"/>
      <c r="C403" s="35"/>
      <c r="L403" s="10"/>
      <c r="M403" s="10"/>
      <c r="N403" s="10"/>
    </row>
    <row r="404">
      <c r="A404" s="35"/>
      <c r="B404" s="35"/>
      <c r="C404" s="35"/>
      <c r="L404" s="10"/>
      <c r="M404" s="10"/>
      <c r="N404" s="10"/>
    </row>
    <row r="405">
      <c r="A405" s="35"/>
      <c r="B405" s="35"/>
      <c r="C405" s="35"/>
      <c r="L405" s="10"/>
      <c r="M405" s="10"/>
      <c r="N405" s="10"/>
    </row>
    <row r="406">
      <c r="A406" s="35"/>
      <c r="B406" s="35"/>
      <c r="C406" s="35"/>
      <c r="L406" s="10"/>
      <c r="M406" s="10"/>
      <c r="N406" s="10"/>
    </row>
    <row r="407">
      <c r="A407" s="35"/>
      <c r="B407" s="35"/>
      <c r="C407" s="35"/>
      <c r="L407" s="10"/>
      <c r="M407" s="10"/>
      <c r="N407" s="10"/>
    </row>
    <row r="408">
      <c r="A408" s="35"/>
      <c r="B408" s="35"/>
      <c r="C408" s="35"/>
      <c r="L408" s="10"/>
      <c r="M408" s="10"/>
      <c r="N408" s="10"/>
    </row>
    <row r="409">
      <c r="A409" s="35"/>
      <c r="B409" s="35"/>
      <c r="C409" s="35"/>
      <c r="L409" s="10"/>
      <c r="M409" s="10"/>
      <c r="N409" s="10"/>
    </row>
    <row r="410">
      <c r="A410" s="35"/>
      <c r="B410" s="35"/>
      <c r="C410" s="35"/>
      <c r="L410" s="10"/>
      <c r="M410" s="10"/>
      <c r="N410" s="10"/>
    </row>
    <row r="411">
      <c r="A411" s="35"/>
      <c r="B411" s="35"/>
      <c r="C411" s="35"/>
      <c r="L411" s="10"/>
      <c r="M411" s="10"/>
      <c r="N411" s="10"/>
    </row>
    <row r="412">
      <c r="A412" s="35"/>
      <c r="B412" s="35"/>
      <c r="C412" s="35"/>
      <c r="L412" s="10"/>
      <c r="M412" s="10"/>
      <c r="N412" s="10"/>
    </row>
    <row r="413">
      <c r="A413" s="35"/>
      <c r="B413" s="35"/>
      <c r="C413" s="35"/>
      <c r="L413" s="10"/>
      <c r="M413" s="10"/>
      <c r="N413" s="10"/>
    </row>
    <row r="414">
      <c r="A414" s="35"/>
      <c r="B414" s="35"/>
      <c r="C414" s="35"/>
      <c r="L414" s="10"/>
      <c r="M414" s="10"/>
      <c r="N414" s="10"/>
    </row>
    <row r="415">
      <c r="A415" s="35"/>
      <c r="B415" s="35"/>
      <c r="C415" s="35"/>
      <c r="L415" s="10"/>
      <c r="M415" s="10"/>
      <c r="N415" s="10"/>
    </row>
    <row r="416">
      <c r="A416" s="35"/>
      <c r="B416" s="35"/>
      <c r="C416" s="35"/>
      <c r="L416" s="10"/>
      <c r="M416" s="10"/>
      <c r="N416" s="10"/>
    </row>
    <row r="417">
      <c r="A417" s="35"/>
      <c r="B417" s="35"/>
      <c r="C417" s="35"/>
      <c r="L417" s="10"/>
      <c r="M417" s="10"/>
      <c r="N417" s="10"/>
    </row>
    <row r="418">
      <c r="A418" s="35"/>
      <c r="B418" s="35"/>
      <c r="C418" s="35"/>
      <c r="L418" s="10"/>
      <c r="M418" s="10"/>
      <c r="N418" s="10"/>
    </row>
    <row r="419">
      <c r="A419" s="35"/>
      <c r="B419" s="35"/>
      <c r="C419" s="35"/>
      <c r="L419" s="10"/>
      <c r="M419" s="10"/>
      <c r="N419" s="10"/>
    </row>
    <row r="420">
      <c r="A420" s="35"/>
      <c r="B420" s="35"/>
      <c r="C420" s="35"/>
      <c r="L420" s="10"/>
      <c r="M420" s="10"/>
      <c r="N420" s="10"/>
    </row>
    <row r="421">
      <c r="A421" s="35"/>
      <c r="B421" s="35"/>
      <c r="C421" s="35"/>
      <c r="L421" s="10"/>
      <c r="M421" s="10"/>
      <c r="N421" s="10"/>
    </row>
    <row r="422">
      <c r="A422" s="35"/>
      <c r="B422" s="35"/>
      <c r="C422" s="35"/>
      <c r="L422" s="10"/>
      <c r="M422" s="10"/>
      <c r="N422" s="10"/>
    </row>
    <row r="423">
      <c r="A423" s="35"/>
      <c r="B423" s="35"/>
      <c r="C423" s="35"/>
      <c r="L423" s="10"/>
      <c r="M423" s="10"/>
      <c r="N423" s="10"/>
    </row>
    <row r="424">
      <c r="A424" s="35"/>
      <c r="B424" s="35"/>
      <c r="C424" s="35"/>
      <c r="L424" s="10"/>
      <c r="M424" s="10"/>
      <c r="N424" s="10"/>
    </row>
    <row r="425">
      <c r="A425" s="35"/>
      <c r="B425" s="35"/>
      <c r="C425" s="35"/>
      <c r="L425" s="10"/>
      <c r="M425" s="10"/>
      <c r="N425" s="10"/>
    </row>
    <row r="426">
      <c r="A426" s="35"/>
      <c r="B426" s="35"/>
      <c r="C426" s="35"/>
      <c r="L426" s="10"/>
      <c r="M426" s="10"/>
      <c r="N426" s="10"/>
    </row>
    <row r="427">
      <c r="A427" s="35"/>
      <c r="B427" s="35"/>
      <c r="C427" s="35"/>
      <c r="L427" s="10"/>
      <c r="M427" s="10"/>
      <c r="N427" s="10"/>
    </row>
    <row r="428">
      <c r="A428" s="35"/>
      <c r="B428" s="35"/>
      <c r="C428" s="35"/>
      <c r="L428" s="10"/>
      <c r="M428" s="10"/>
      <c r="N428" s="10"/>
    </row>
    <row r="429">
      <c r="A429" s="35"/>
      <c r="B429" s="35"/>
      <c r="C429" s="35"/>
      <c r="L429" s="10"/>
      <c r="M429" s="10"/>
      <c r="N429" s="10"/>
    </row>
    <row r="430">
      <c r="A430" s="35"/>
      <c r="B430" s="35"/>
      <c r="C430" s="35"/>
      <c r="L430" s="10"/>
      <c r="M430" s="10"/>
      <c r="N430" s="10"/>
    </row>
    <row r="431">
      <c r="A431" s="35"/>
      <c r="B431" s="35"/>
      <c r="C431" s="35"/>
      <c r="L431" s="10"/>
      <c r="M431" s="10"/>
      <c r="N431" s="10"/>
    </row>
    <row r="432">
      <c r="A432" s="35"/>
      <c r="B432" s="35"/>
      <c r="C432" s="35"/>
      <c r="L432" s="10"/>
      <c r="M432" s="10"/>
      <c r="N432" s="10"/>
    </row>
    <row r="433">
      <c r="A433" s="35"/>
      <c r="B433" s="35"/>
      <c r="C433" s="35"/>
      <c r="L433" s="10"/>
      <c r="M433" s="10"/>
      <c r="N433" s="10"/>
    </row>
    <row r="434">
      <c r="A434" s="35"/>
      <c r="B434" s="35"/>
      <c r="C434" s="35"/>
      <c r="L434" s="10"/>
      <c r="M434" s="10"/>
      <c r="N434" s="10"/>
    </row>
    <row r="435">
      <c r="A435" s="35"/>
      <c r="B435" s="35"/>
      <c r="C435" s="35"/>
      <c r="L435" s="10"/>
      <c r="M435" s="10"/>
      <c r="N435" s="10"/>
    </row>
    <row r="436">
      <c r="A436" s="35"/>
      <c r="B436" s="35"/>
      <c r="C436" s="35"/>
      <c r="L436" s="10"/>
      <c r="M436" s="10"/>
      <c r="N436" s="10"/>
    </row>
    <row r="437">
      <c r="A437" s="35"/>
      <c r="B437" s="35"/>
      <c r="C437" s="35"/>
      <c r="L437" s="10"/>
      <c r="M437" s="10"/>
      <c r="N437" s="10"/>
    </row>
    <row r="438">
      <c r="A438" s="35"/>
      <c r="B438" s="35"/>
      <c r="C438" s="35"/>
      <c r="L438" s="10"/>
      <c r="M438" s="10"/>
      <c r="N438" s="10"/>
    </row>
    <row r="439">
      <c r="A439" s="35"/>
      <c r="B439" s="35"/>
      <c r="C439" s="35"/>
      <c r="L439" s="10"/>
      <c r="M439" s="10"/>
      <c r="N439" s="10"/>
    </row>
    <row r="440">
      <c r="A440" s="35"/>
      <c r="B440" s="35"/>
      <c r="C440" s="35"/>
      <c r="L440" s="10"/>
      <c r="M440" s="10"/>
      <c r="N440" s="10"/>
    </row>
    <row r="441">
      <c r="A441" s="35"/>
      <c r="B441" s="35"/>
      <c r="C441" s="35"/>
      <c r="L441" s="10"/>
      <c r="M441" s="10"/>
      <c r="N441" s="10"/>
    </row>
    <row r="442">
      <c r="A442" s="35"/>
      <c r="B442" s="35"/>
      <c r="C442" s="35"/>
      <c r="L442" s="10"/>
      <c r="M442" s="10"/>
      <c r="N442" s="10"/>
    </row>
    <row r="443">
      <c r="A443" s="35"/>
      <c r="B443" s="35"/>
      <c r="C443" s="35"/>
      <c r="L443" s="10"/>
      <c r="M443" s="10"/>
      <c r="N443" s="10"/>
    </row>
    <row r="444">
      <c r="A444" s="35"/>
      <c r="B444" s="35"/>
      <c r="C444" s="35"/>
      <c r="L444" s="10"/>
      <c r="M444" s="10"/>
      <c r="N444" s="10"/>
    </row>
    <row r="445">
      <c r="A445" s="35"/>
      <c r="B445" s="35"/>
      <c r="C445" s="35"/>
      <c r="L445" s="10"/>
      <c r="M445" s="10"/>
      <c r="N445" s="10"/>
    </row>
    <row r="446">
      <c r="A446" s="35"/>
      <c r="B446" s="35"/>
      <c r="C446" s="35"/>
      <c r="L446" s="10"/>
      <c r="M446" s="10"/>
      <c r="N446" s="10"/>
    </row>
    <row r="447">
      <c r="A447" s="35"/>
      <c r="B447" s="35"/>
      <c r="C447" s="35"/>
      <c r="L447" s="10"/>
      <c r="M447" s="10"/>
      <c r="N447" s="10"/>
    </row>
    <row r="448">
      <c r="A448" s="35"/>
      <c r="B448" s="35"/>
      <c r="C448" s="35"/>
      <c r="L448" s="10"/>
      <c r="M448" s="10"/>
      <c r="N448" s="10"/>
    </row>
    <row r="449">
      <c r="A449" s="35"/>
      <c r="B449" s="35"/>
      <c r="C449" s="35"/>
      <c r="L449" s="10"/>
      <c r="M449" s="10"/>
      <c r="N449" s="10"/>
    </row>
    <row r="450">
      <c r="A450" s="35"/>
      <c r="B450" s="35"/>
      <c r="C450" s="35"/>
      <c r="L450" s="10"/>
      <c r="M450" s="10"/>
      <c r="N450" s="10"/>
    </row>
    <row r="451">
      <c r="A451" s="35"/>
      <c r="B451" s="35"/>
      <c r="C451" s="35"/>
      <c r="L451" s="10"/>
      <c r="M451" s="10"/>
      <c r="N451" s="10"/>
    </row>
    <row r="452">
      <c r="A452" s="35"/>
      <c r="B452" s="35"/>
      <c r="C452" s="35"/>
      <c r="L452" s="10"/>
      <c r="M452" s="10"/>
      <c r="N452" s="10"/>
    </row>
    <row r="453">
      <c r="A453" s="35"/>
      <c r="B453" s="35"/>
      <c r="C453" s="35"/>
      <c r="L453" s="10"/>
      <c r="M453" s="10"/>
      <c r="N453" s="10"/>
    </row>
    <row r="454">
      <c r="A454" s="35"/>
      <c r="B454" s="35"/>
      <c r="C454" s="35"/>
      <c r="L454" s="10"/>
      <c r="M454" s="10"/>
      <c r="N454" s="10"/>
    </row>
    <row r="455">
      <c r="A455" s="35"/>
      <c r="B455" s="35"/>
      <c r="C455" s="35"/>
      <c r="L455" s="10"/>
      <c r="M455" s="10"/>
      <c r="N455" s="10"/>
    </row>
    <row r="456">
      <c r="A456" s="35"/>
      <c r="B456" s="35"/>
      <c r="C456" s="35"/>
      <c r="L456" s="10"/>
      <c r="M456" s="10"/>
      <c r="N456" s="10"/>
    </row>
    <row r="457">
      <c r="A457" s="35"/>
      <c r="B457" s="35"/>
      <c r="C457" s="35"/>
      <c r="L457" s="10"/>
      <c r="M457" s="10"/>
      <c r="N457" s="10"/>
    </row>
    <row r="458">
      <c r="A458" s="35"/>
      <c r="B458" s="35"/>
      <c r="C458" s="35"/>
      <c r="L458" s="10"/>
      <c r="M458" s="10"/>
      <c r="N458" s="10"/>
    </row>
    <row r="459">
      <c r="A459" s="35"/>
      <c r="B459" s="35"/>
      <c r="C459" s="35"/>
      <c r="L459" s="10"/>
      <c r="M459" s="10"/>
      <c r="N459" s="10"/>
    </row>
    <row r="460">
      <c r="A460" s="35"/>
      <c r="B460" s="35"/>
      <c r="C460" s="35"/>
      <c r="L460" s="10"/>
      <c r="M460" s="10"/>
      <c r="N460" s="10"/>
    </row>
    <row r="461">
      <c r="A461" s="35"/>
      <c r="B461" s="35"/>
      <c r="C461" s="35"/>
      <c r="L461" s="10"/>
      <c r="M461" s="10"/>
      <c r="N461" s="10"/>
    </row>
    <row r="462">
      <c r="A462" s="35"/>
      <c r="B462" s="35"/>
      <c r="C462" s="35"/>
      <c r="L462" s="10"/>
      <c r="M462" s="10"/>
      <c r="N462" s="10"/>
    </row>
    <row r="463">
      <c r="A463" s="35"/>
      <c r="B463" s="35"/>
      <c r="C463" s="35"/>
      <c r="L463" s="10"/>
      <c r="M463" s="10"/>
      <c r="N463" s="10"/>
    </row>
    <row r="464">
      <c r="A464" s="35"/>
      <c r="B464" s="35"/>
      <c r="C464" s="35"/>
      <c r="L464" s="10"/>
      <c r="M464" s="10"/>
      <c r="N464" s="10"/>
    </row>
    <row r="465">
      <c r="A465" s="35"/>
      <c r="B465" s="35"/>
      <c r="C465" s="35"/>
      <c r="L465" s="10"/>
      <c r="M465" s="10"/>
      <c r="N465" s="10"/>
    </row>
    <row r="466">
      <c r="A466" s="35"/>
      <c r="B466" s="35"/>
      <c r="C466" s="35"/>
      <c r="L466" s="10"/>
      <c r="M466" s="10"/>
      <c r="N466" s="10"/>
    </row>
    <row r="467">
      <c r="A467" s="35"/>
      <c r="B467" s="35"/>
      <c r="C467" s="35"/>
      <c r="L467" s="10"/>
      <c r="M467" s="10"/>
      <c r="N467" s="10"/>
    </row>
    <row r="468">
      <c r="A468" s="35"/>
      <c r="B468" s="35"/>
      <c r="C468" s="35"/>
      <c r="L468" s="10"/>
      <c r="M468" s="10"/>
      <c r="N468" s="10"/>
    </row>
    <row r="469">
      <c r="A469" s="35"/>
      <c r="B469" s="35"/>
      <c r="C469" s="35"/>
      <c r="L469" s="10"/>
      <c r="M469" s="10"/>
      <c r="N469" s="10"/>
    </row>
    <row r="470">
      <c r="A470" s="35"/>
      <c r="B470" s="35"/>
      <c r="C470" s="35"/>
      <c r="L470" s="10"/>
      <c r="M470" s="10"/>
      <c r="N470" s="10"/>
    </row>
    <row r="471">
      <c r="A471" s="35"/>
      <c r="B471" s="35"/>
      <c r="C471" s="35"/>
      <c r="L471" s="10"/>
      <c r="M471" s="10"/>
      <c r="N471" s="10"/>
    </row>
    <row r="472">
      <c r="A472" s="35"/>
      <c r="B472" s="35"/>
      <c r="C472" s="35"/>
      <c r="L472" s="10"/>
      <c r="M472" s="10"/>
      <c r="N472" s="10"/>
    </row>
    <row r="473">
      <c r="A473" s="35"/>
      <c r="B473" s="35"/>
      <c r="C473" s="35"/>
      <c r="L473" s="10"/>
      <c r="M473" s="10"/>
      <c r="N473" s="10"/>
    </row>
    <row r="474">
      <c r="A474" s="35"/>
      <c r="B474" s="35"/>
      <c r="C474" s="35"/>
      <c r="L474" s="10"/>
      <c r="M474" s="10"/>
      <c r="N474" s="10"/>
    </row>
    <row r="475">
      <c r="A475" s="35"/>
      <c r="B475" s="35"/>
      <c r="C475" s="35"/>
      <c r="L475" s="10"/>
      <c r="M475" s="10"/>
      <c r="N475" s="10"/>
    </row>
    <row r="476">
      <c r="A476" s="35"/>
      <c r="B476" s="35"/>
      <c r="C476" s="35"/>
      <c r="L476" s="10"/>
      <c r="M476" s="10"/>
      <c r="N476" s="10"/>
    </row>
    <row r="477">
      <c r="A477" s="35"/>
      <c r="B477" s="35"/>
      <c r="C477" s="35"/>
      <c r="L477" s="10"/>
      <c r="M477" s="10"/>
      <c r="N477" s="10"/>
    </row>
    <row r="478">
      <c r="A478" s="35"/>
      <c r="B478" s="35"/>
      <c r="C478" s="35"/>
      <c r="L478" s="10"/>
      <c r="M478" s="10"/>
      <c r="N478" s="10"/>
    </row>
    <row r="479">
      <c r="A479" s="35"/>
      <c r="B479" s="35"/>
      <c r="C479" s="35"/>
      <c r="L479" s="10"/>
      <c r="M479" s="10"/>
      <c r="N479" s="10"/>
    </row>
    <row r="480">
      <c r="A480" s="35"/>
      <c r="B480" s="35"/>
      <c r="C480" s="35"/>
      <c r="L480" s="10"/>
      <c r="M480" s="10"/>
      <c r="N480" s="10"/>
    </row>
    <row r="481">
      <c r="A481" s="35"/>
      <c r="B481" s="35"/>
      <c r="C481" s="35"/>
      <c r="L481" s="10"/>
      <c r="M481" s="10"/>
      <c r="N481" s="10"/>
    </row>
    <row r="482">
      <c r="A482" s="35"/>
      <c r="B482" s="35"/>
      <c r="C482" s="35"/>
      <c r="L482" s="10"/>
      <c r="M482" s="10"/>
      <c r="N482" s="10"/>
    </row>
    <row r="483">
      <c r="A483" s="35"/>
      <c r="B483" s="35"/>
      <c r="C483" s="35"/>
      <c r="L483" s="10"/>
      <c r="M483" s="10"/>
      <c r="N483" s="10"/>
    </row>
    <row r="484">
      <c r="A484" s="35"/>
      <c r="B484" s="35"/>
      <c r="C484" s="35"/>
      <c r="L484" s="10"/>
      <c r="M484" s="10"/>
      <c r="N484" s="10"/>
    </row>
    <row r="485">
      <c r="A485" s="35"/>
      <c r="B485" s="35"/>
      <c r="C485" s="35"/>
      <c r="L485" s="10"/>
      <c r="M485" s="10"/>
      <c r="N485" s="10"/>
    </row>
    <row r="486">
      <c r="A486" s="35"/>
      <c r="B486" s="35"/>
      <c r="C486" s="35"/>
      <c r="L486" s="10"/>
      <c r="M486" s="10"/>
      <c r="N486" s="10"/>
    </row>
    <row r="487">
      <c r="A487" s="35"/>
      <c r="B487" s="35"/>
      <c r="C487" s="35"/>
      <c r="L487" s="10"/>
      <c r="M487" s="10"/>
      <c r="N487" s="10"/>
    </row>
    <row r="488">
      <c r="A488" s="35"/>
      <c r="B488" s="35"/>
      <c r="C488" s="35"/>
      <c r="L488" s="10"/>
      <c r="M488" s="10"/>
      <c r="N488" s="10"/>
    </row>
    <row r="489">
      <c r="A489" s="35"/>
      <c r="B489" s="35"/>
      <c r="C489" s="35"/>
      <c r="L489" s="10"/>
      <c r="M489" s="10"/>
      <c r="N489" s="10"/>
    </row>
    <row r="490">
      <c r="A490" s="35"/>
      <c r="B490" s="35"/>
      <c r="C490" s="35"/>
      <c r="L490" s="10"/>
      <c r="M490" s="10"/>
      <c r="N490" s="10"/>
    </row>
    <row r="491">
      <c r="A491" s="35"/>
      <c r="B491" s="35"/>
      <c r="C491" s="35"/>
      <c r="L491" s="10"/>
      <c r="M491" s="10"/>
      <c r="N491" s="10"/>
    </row>
    <row r="492">
      <c r="A492" s="35"/>
      <c r="B492" s="35"/>
      <c r="C492" s="35"/>
      <c r="L492" s="10"/>
      <c r="M492" s="10"/>
      <c r="N492" s="10"/>
    </row>
    <row r="493">
      <c r="A493" s="35"/>
      <c r="B493" s="35"/>
      <c r="C493" s="35"/>
      <c r="L493" s="10"/>
      <c r="M493" s="10"/>
      <c r="N493" s="10"/>
    </row>
    <row r="494">
      <c r="A494" s="35"/>
      <c r="B494" s="35"/>
      <c r="C494" s="35"/>
      <c r="L494" s="10"/>
      <c r="M494" s="10"/>
      <c r="N494" s="10"/>
    </row>
    <row r="495">
      <c r="A495" s="35"/>
      <c r="B495" s="35"/>
      <c r="C495" s="35"/>
      <c r="L495" s="10"/>
      <c r="M495" s="10"/>
      <c r="N495" s="10"/>
    </row>
    <row r="496">
      <c r="A496" s="35"/>
      <c r="B496" s="35"/>
      <c r="C496" s="35"/>
      <c r="L496" s="10"/>
      <c r="M496" s="10"/>
      <c r="N496" s="10"/>
    </row>
    <row r="497">
      <c r="A497" s="35"/>
      <c r="B497" s="35"/>
      <c r="C497" s="35"/>
      <c r="L497" s="10"/>
      <c r="M497" s="10"/>
      <c r="N497" s="10"/>
    </row>
    <row r="498">
      <c r="A498" s="35"/>
      <c r="B498" s="35"/>
      <c r="C498" s="35"/>
      <c r="L498" s="10"/>
      <c r="M498" s="10"/>
      <c r="N498" s="10"/>
    </row>
    <row r="499">
      <c r="A499" s="35"/>
      <c r="B499" s="35"/>
      <c r="C499" s="35"/>
      <c r="L499" s="10"/>
      <c r="M499" s="10"/>
      <c r="N499" s="10"/>
    </row>
    <row r="500">
      <c r="A500" s="35"/>
      <c r="B500" s="35"/>
      <c r="C500" s="35"/>
      <c r="L500" s="10"/>
      <c r="M500" s="10"/>
      <c r="N500" s="10"/>
    </row>
    <row r="501">
      <c r="A501" s="35"/>
      <c r="B501" s="35"/>
      <c r="C501" s="35"/>
      <c r="L501" s="10"/>
      <c r="M501" s="10"/>
      <c r="N501" s="10"/>
    </row>
    <row r="502">
      <c r="A502" s="35"/>
      <c r="B502" s="35"/>
      <c r="C502" s="35"/>
      <c r="L502" s="10"/>
      <c r="M502" s="10"/>
      <c r="N502" s="10"/>
    </row>
    <row r="503">
      <c r="A503" s="35"/>
      <c r="B503" s="35"/>
      <c r="C503" s="35"/>
      <c r="L503" s="10"/>
      <c r="M503" s="10"/>
      <c r="N503" s="10"/>
    </row>
    <row r="504">
      <c r="A504" s="35"/>
      <c r="B504" s="35"/>
      <c r="C504" s="35"/>
      <c r="L504" s="10"/>
      <c r="M504" s="10"/>
      <c r="N504" s="10"/>
    </row>
    <row r="505">
      <c r="A505" s="35"/>
      <c r="B505" s="35"/>
      <c r="C505" s="35"/>
      <c r="L505" s="10"/>
      <c r="M505" s="10"/>
      <c r="N505" s="10"/>
    </row>
    <row r="506">
      <c r="A506" s="35"/>
      <c r="B506" s="35"/>
      <c r="C506" s="35"/>
      <c r="L506" s="10"/>
      <c r="M506" s="10"/>
      <c r="N506" s="10"/>
    </row>
    <row r="507">
      <c r="A507" s="35"/>
      <c r="B507" s="35"/>
      <c r="C507" s="35"/>
      <c r="L507" s="10"/>
      <c r="M507" s="10"/>
      <c r="N507" s="10"/>
    </row>
    <row r="508">
      <c r="A508" s="35"/>
      <c r="B508" s="35"/>
      <c r="C508" s="35"/>
      <c r="L508" s="10"/>
      <c r="M508" s="10"/>
      <c r="N508" s="10"/>
    </row>
    <row r="509">
      <c r="A509" s="35"/>
      <c r="B509" s="35"/>
      <c r="C509" s="35"/>
      <c r="L509" s="10"/>
      <c r="M509" s="10"/>
      <c r="N509" s="10"/>
    </row>
    <row r="510">
      <c r="A510" s="35"/>
      <c r="B510" s="35"/>
      <c r="C510" s="35"/>
      <c r="L510" s="10"/>
      <c r="M510" s="10"/>
      <c r="N510" s="10"/>
    </row>
    <row r="511">
      <c r="A511" s="35"/>
      <c r="B511" s="35"/>
      <c r="C511" s="35"/>
      <c r="L511" s="10"/>
      <c r="M511" s="10"/>
      <c r="N511" s="10"/>
    </row>
    <row r="512">
      <c r="A512" s="35"/>
      <c r="B512" s="35"/>
      <c r="C512" s="35"/>
      <c r="L512" s="10"/>
      <c r="M512" s="10"/>
      <c r="N512" s="10"/>
    </row>
    <row r="513">
      <c r="A513" s="35"/>
      <c r="B513" s="35"/>
      <c r="C513" s="35"/>
      <c r="L513" s="10"/>
      <c r="M513" s="10"/>
      <c r="N513" s="10"/>
    </row>
    <row r="514">
      <c r="A514" s="35"/>
      <c r="B514" s="35"/>
      <c r="C514" s="35"/>
      <c r="L514" s="10"/>
      <c r="M514" s="10"/>
      <c r="N514" s="10"/>
    </row>
    <row r="515">
      <c r="A515" s="35"/>
      <c r="B515" s="35"/>
      <c r="C515" s="35"/>
      <c r="L515" s="10"/>
      <c r="M515" s="10"/>
      <c r="N515" s="10"/>
    </row>
    <row r="516">
      <c r="A516" s="35"/>
      <c r="B516" s="35"/>
      <c r="C516" s="35"/>
      <c r="L516" s="10"/>
      <c r="M516" s="10"/>
      <c r="N516" s="10"/>
    </row>
    <row r="517">
      <c r="A517" s="35"/>
      <c r="B517" s="35"/>
      <c r="C517" s="35"/>
      <c r="L517" s="10"/>
      <c r="M517" s="10"/>
      <c r="N517" s="10"/>
    </row>
    <row r="518">
      <c r="A518" s="35"/>
      <c r="B518" s="35"/>
      <c r="C518" s="35"/>
      <c r="L518" s="10"/>
      <c r="M518" s="10"/>
      <c r="N518" s="10"/>
    </row>
    <row r="519">
      <c r="A519" s="35"/>
      <c r="B519" s="35"/>
      <c r="C519" s="35"/>
      <c r="L519" s="10"/>
      <c r="M519" s="10"/>
      <c r="N519" s="10"/>
    </row>
    <row r="520">
      <c r="A520" s="35"/>
      <c r="B520" s="35"/>
      <c r="C520" s="35"/>
      <c r="L520" s="10"/>
      <c r="M520" s="10"/>
      <c r="N520" s="10"/>
    </row>
    <row r="521">
      <c r="A521" s="35"/>
      <c r="B521" s="35"/>
      <c r="C521" s="35"/>
      <c r="L521" s="10"/>
      <c r="M521" s="10"/>
      <c r="N521" s="10"/>
    </row>
    <row r="522">
      <c r="A522" s="35"/>
      <c r="B522" s="35"/>
      <c r="C522" s="35"/>
      <c r="L522" s="10"/>
      <c r="M522" s="10"/>
      <c r="N522" s="10"/>
    </row>
    <row r="523">
      <c r="A523" s="35"/>
      <c r="B523" s="35"/>
      <c r="C523" s="35"/>
      <c r="L523" s="10"/>
      <c r="M523" s="10"/>
      <c r="N523" s="10"/>
    </row>
    <row r="524">
      <c r="A524" s="35"/>
      <c r="B524" s="35"/>
      <c r="C524" s="35"/>
      <c r="L524" s="10"/>
      <c r="M524" s="10"/>
      <c r="N524" s="10"/>
    </row>
    <row r="525">
      <c r="A525" s="35"/>
      <c r="B525" s="35"/>
      <c r="C525" s="35"/>
      <c r="L525" s="10"/>
      <c r="M525" s="10"/>
      <c r="N525" s="10"/>
    </row>
    <row r="526">
      <c r="A526" s="35"/>
      <c r="B526" s="35"/>
      <c r="C526" s="35"/>
      <c r="L526" s="10"/>
      <c r="M526" s="10"/>
      <c r="N526" s="10"/>
    </row>
    <row r="527">
      <c r="A527" s="35"/>
      <c r="B527" s="35"/>
      <c r="C527" s="35"/>
      <c r="L527" s="10"/>
      <c r="M527" s="10"/>
      <c r="N527" s="10"/>
    </row>
    <row r="528">
      <c r="A528" s="35"/>
      <c r="B528" s="35"/>
      <c r="C528" s="35"/>
      <c r="L528" s="10"/>
      <c r="M528" s="10"/>
      <c r="N528" s="10"/>
    </row>
    <row r="529">
      <c r="A529" s="35"/>
      <c r="B529" s="35"/>
      <c r="C529" s="35"/>
      <c r="L529" s="10"/>
      <c r="M529" s="10"/>
      <c r="N529" s="10"/>
    </row>
    <row r="530">
      <c r="A530" s="35"/>
      <c r="B530" s="35"/>
      <c r="C530" s="35"/>
      <c r="L530" s="10"/>
      <c r="M530" s="10"/>
      <c r="N530" s="10"/>
    </row>
    <row r="531">
      <c r="A531" s="35"/>
      <c r="B531" s="35"/>
      <c r="C531" s="35"/>
      <c r="L531" s="10"/>
      <c r="M531" s="10"/>
      <c r="N531" s="10"/>
    </row>
    <row r="532">
      <c r="A532" s="35"/>
      <c r="B532" s="35"/>
      <c r="C532" s="35"/>
      <c r="L532" s="10"/>
      <c r="M532" s="10"/>
      <c r="N532" s="10"/>
    </row>
    <row r="533">
      <c r="A533" s="35"/>
      <c r="B533" s="35"/>
      <c r="C533" s="35"/>
      <c r="L533" s="10"/>
      <c r="M533" s="10"/>
      <c r="N533" s="10"/>
    </row>
    <row r="534">
      <c r="A534" s="35"/>
      <c r="B534" s="35"/>
      <c r="C534" s="35"/>
      <c r="L534" s="10"/>
      <c r="M534" s="10"/>
      <c r="N534" s="10"/>
    </row>
    <row r="535">
      <c r="A535" s="35"/>
      <c r="B535" s="35"/>
      <c r="C535" s="35"/>
      <c r="L535" s="10"/>
      <c r="M535" s="10"/>
      <c r="N535" s="10"/>
    </row>
    <row r="536">
      <c r="A536" s="35"/>
      <c r="B536" s="35"/>
      <c r="C536" s="35"/>
      <c r="L536" s="10"/>
      <c r="M536" s="10"/>
      <c r="N536" s="10"/>
    </row>
    <row r="537">
      <c r="A537" s="35"/>
      <c r="B537" s="35"/>
      <c r="C537" s="35"/>
      <c r="L537" s="10"/>
      <c r="M537" s="10"/>
      <c r="N537" s="10"/>
    </row>
    <row r="538">
      <c r="A538" s="35"/>
      <c r="B538" s="35"/>
      <c r="C538" s="35"/>
      <c r="L538" s="10"/>
      <c r="M538" s="10"/>
      <c r="N538" s="10"/>
    </row>
    <row r="539">
      <c r="A539" s="35"/>
      <c r="B539" s="35"/>
      <c r="C539" s="35"/>
      <c r="L539" s="10"/>
      <c r="M539" s="10"/>
      <c r="N539" s="10"/>
    </row>
    <row r="540">
      <c r="A540" s="35"/>
      <c r="B540" s="35"/>
      <c r="C540" s="35"/>
      <c r="L540" s="10"/>
      <c r="M540" s="10"/>
      <c r="N540" s="10"/>
    </row>
    <row r="541">
      <c r="A541" s="35"/>
      <c r="B541" s="35"/>
      <c r="C541" s="35"/>
      <c r="L541" s="10"/>
      <c r="M541" s="10"/>
      <c r="N541" s="10"/>
    </row>
    <row r="542">
      <c r="A542" s="35"/>
      <c r="B542" s="35"/>
      <c r="C542" s="35"/>
      <c r="L542" s="10"/>
      <c r="M542" s="10"/>
      <c r="N542" s="10"/>
    </row>
    <row r="543">
      <c r="A543" s="35"/>
      <c r="B543" s="35"/>
      <c r="C543" s="35"/>
      <c r="L543" s="10"/>
      <c r="M543" s="10"/>
      <c r="N543" s="10"/>
    </row>
    <row r="544">
      <c r="A544" s="35"/>
      <c r="B544" s="35"/>
      <c r="C544" s="35"/>
      <c r="L544" s="10"/>
      <c r="M544" s="10"/>
      <c r="N544" s="10"/>
    </row>
    <row r="545">
      <c r="A545" s="35"/>
      <c r="B545" s="35"/>
      <c r="C545" s="35"/>
      <c r="L545" s="10"/>
      <c r="M545" s="10"/>
      <c r="N545" s="10"/>
    </row>
    <row r="546">
      <c r="A546" s="35"/>
      <c r="B546" s="35"/>
      <c r="C546" s="35"/>
      <c r="L546" s="10"/>
      <c r="M546" s="10"/>
      <c r="N546" s="10"/>
    </row>
    <row r="547">
      <c r="A547" s="35"/>
      <c r="B547" s="35"/>
      <c r="C547" s="35"/>
      <c r="L547" s="10"/>
      <c r="M547" s="10"/>
      <c r="N547" s="10"/>
    </row>
    <row r="548">
      <c r="A548" s="35"/>
      <c r="B548" s="35"/>
      <c r="C548" s="35"/>
      <c r="L548" s="10"/>
      <c r="M548" s="10"/>
      <c r="N548" s="10"/>
    </row>
    <row r="549">
      <c r="A549" s="35"/>
      <c r="B549" s="35"/>
      <c r="C549" s="35"/>
      <c r="L549" s="10"/>
      <c r="M549" s="10"/>
      <c r="N549" s="10"/>
    </row>
    <row r="550">
      <c r="A550" s="35"/>
      <c r="B550" s="35"/>
      <c r="C550" s="35"/>
      <c r="L550" s="10"/>
      <c r="M550" s="10"/>
      <c r="N550" s="10"/>
    </row>
    <row r="551">
      <c r="A551" s="35"/>
      <c r="B551" s="35"/>
      <c r="C551" s="35"/>
      <c r="L551" s="10"/>
      <c r="M551" s="10"/>
      <c r="N551" s="10"/>
    </row>
    <row r="552">
      <c r="A552" s="35"/>
      <c r="B552" s="35"/>
      <c r="C552" s="35"/>
      <c r="L552" s="10"/>
      <c r="M552" s="10"/>
      <c r="N552" s="10"/>
    </row>
    <row r="553">
      <c r="A553" s="35"/>
      <c r="B553" s="35"/>
      <c r="C553" s="35"/>
      <c r="L553" s="10"/>
      <c r="M553" s="10"/>
      <c r="N553" s="10"/>
    </row>
    <row r="554">
      <c r="A554" s="35"/>
      <c r="B554" s="35"/>
      <c r="C554" s="35"/>
      <c r="L554" s="10"/>
      <c r="M554" s="10"/>
      <c r="N554" s="10"/>
    </row>
    <row r="555">
      <c r="A555" s="35"/>
      <c r="B555" s="35"/>
      <c r="C555" s="35"/>
      <c r="L555" s="10"/>
      <c r="M555" s="10"/>
      <c r="N555" s="10"/>
    </row>
    <row r="556">
      <c r="A556" s="35"/>
      <c r="B556" s="35"/>
      <c r="C556" s="35"/>
      <c r="L556" s="10"/>
      <c r="M556" s="10"/>
      <c r="N556" s="10"/>
    </row>
    <row r="557">
      <c r="A557" s="35"/>
      <c r="B557" s="35"/>
      <c r="C557" s="35"/>
      <c r="L557" s="10"/>
      <c r="M557" s="10"/>
      <c r="N557" s="10"/>
    </row>
    <row r="558">
      <c r="A558" s="35"/>
      <c r="B558" s="35"/>
      <c r="C558" s="35"/>
      <c r="L558" s="10"/>
      <c r="M558" s="10"/>
      <c r="N558" s="10"/>
    </row>
    <row r="559">
      <c r="A559" s="35"/>
      <c r="B559" s="35"/>
      <c r="C559" s="35"/>
      <c r="L559" s="10"/>
      <c r="M559" s="10"/>
      <c r="N559" s="10"/>
    </row>
    <row r="560">
      <c r="A560" s="35"/>
      <c r="B560" s="35"/>
      <c r="C560" s="35"/>
      <c r="L560" s="10"/>
      <c r="M560" s="10"/>
      <c r="N560" s="10"/>
    </row>
    <row r="561">
      <c r="A561" s="35"/>
      <c r="B561" s="35"/>
      <c r="C561" s="35"/>
      <c r="L561" s="10"/>
      <c r="M561" s="10"/>
      <c r="N561" s="10"/>
    </row>
    <row r="562">
      <c r="A562" s="35"/>
      <c r="B562" s="35"/>
      <c r="C562" s="35"/>
      <c r="L562" s="10"/>
      <c r="M562" s="10"/>
      <c r="N562" s="10"/>
    </row>
    <row r="563">
      <c r="A563" s="35"/>
      <c r="B563" s="35"/>
      <c r="C563" s="35"/>
      <c r="L563" s="10"/>
      <c r="M563" s="10"/>
      <c r="N563" s="10"/>
    </row>
    <row r="564">
      <c r="A564" s="35"/>
      <c r="B564" s="35"/>
      <c r="C564" s="35"/>
      <c r="L564" s="10"/>
      <c r="M564" s="10"/>
      <c r="N564" s="10"/>
    </row>
    <row r="565">
      <c r="A565" s="35"/>
      <c r="B565" s="35"/>
      <c r="C565" s="35"/>
      <c r="L565" s="10"/>
      <c r="M565" s="10"/>
      <c r="N565" s="10"/>
    </row>
    <row r="566">
      <c r="A566" s="35"/>
      <c r="B566" s="35"/>
      <c r="C566" s="35"/>
      <c r="L566" s="10"/>
      <c r="M566" s="10"/>
      <c r="N566" s="10"/>
    </row>
    <row r="567">
      <c r="A567" s="35"/>
      <c r="B567" s="35"/>
      <c r="C567" s="35"/>
      <c r="L567" s="10"/>
      <c r="M567" s="10"/>
      <c r="N567" s="10"/>
    </row>
    <row r="568">
      <c r="A568" s="35"/>
      <c r="B568" s="35"/>
      <c r="C568" s="35"/>
      <c r="L568" s="10"/>
      <c r="M568" s="10"/>
      <c r="N568" s="10"/>
    </row>
    <row r="569">
      <c r="A569" s="35"/>
      <c r="B569" s="35"/>
      <c r="C569" s="35"/>
      <c r="L569" s="10"/>
      <c r="M569" s="10"/>
      <c r="N569" s="10"/>
    </row>
    <row r="570">
      <c r="A570" s="35"/>
      <c r="B570" s="35"/>
      <c r="C570" s="35"/>
      <c r="L570" s="10"/>
      <c r="M570" s="10"/>
      <c r="N570" s="10"/>
    </row>
    <row r="571">
      <c r="A571" s="35"/>
      <c r="B571" s="35"/>
      <c r="C571" s="35"/>
      <c r="L571" s="10"/>
      <c r="M571" s="10"/>
      <c r="N571" s="10"/>
    </row>
    <row r="572">
      <c r="A572" s="35"/>
      <c r="B572" s="35"/>
      <c r="C572" s="35"/>
      <c r="L572" s="10"/>
      <c r="M572" s="10"/>
      <c r="N572" s="10"/>
    </row>
    <row r="573">
      <c r="A573" s="35"/>
      <c r="B573" s="35"/>
      <c r="C573" s="35"/>
      <c r="L573" s="10"/>
      <c r="M573" s="10"/>
      <c r="N573" s="10"/>
    </row>
    <row r="574">
      <c r="A574" s="35"/>
      <c r="B574" s="35"/>
      <c r="C574" s="35"/>
      <c r="L574" s="10"/>
      <c r="M574" s="10"/>
      <c r="N574" s="10"/>
    </row>
    <row r="575">
      <c r="A575" s="35"/>
      <c r="B575" s="35"/>
      <c r="C575" s="35"/>
      <c r="L575" s="10"/>
      <c r="M575" s="10"/>
      <c r="N575" s="10"/>
    </row>
    <row r="576">
      <c r="A576" s="35"/>
      <c r="B576" s="35"/>
      <c r="C576" s="35"/>
      <c r="L576" s="10"/>
      <c r="M576" s="10"/>
      <c r="N576" s="10"/>
    </row>
    <row r="577">
      <c r="A577" s="35"/>
      <c r="B577" s="35"/>
      <c r="C577" s="35"/>
      <c r="L577" s="10"/>
      <c r="M577" s="10"/>
      <c r="N577" s="10"/>
    </row>
    <row r="578">
      <c r="A578" s="35"/>
      <c r="B578" s="35"/>
      <c r="C578" s="35"/>
      <c r="L578" s="10"/>
      <c r="M578" s="10"/>
      <c r="N578" s="10"/>
    </row>
    <row r="579">
      <c r="A579" s="35"/>
      <c r="B579" s="35"/>
      <c r="C579" s="35"/>
      <c r="L579" s="10"/>
      <c r="M579" s="10"/>
      <c r="N579" s="10"/>
    </row>
    <row r="580">
      <c r="A580" s="35"/>
      <c r="B580" s="35"/>
      <c r="C580" s="35"/>
      <c r="L580" s="10"/>
      <c r="M580" s="10"/>
      <c r="N580" s="10"/>
    </row>
    <row r="581">
      <c r="A581" s="35"/>
      <c r="B581" s="35"/>
      <c r="C581" s="35"/>
      <c r="L581" s="10"/>
      <c r="M581" s="10"/>
      <c r="N581" s="10"/>
    </row>
    <row r="582">
      <c r="A582" s="35"/>
      <c r="B582" s="35"/>
      <c r="C582" s="35"/>
      <c r="L582" s="10"/>
      <c r="M582" s="10"/>
      <c r="N582" s="10"/>
    </row>
    <row r="583">
      <c r="A583" s="35"/>
      <c r="B583" s="35"/>
      <c r="C583" s="35"/>
      <c r="L583" s="10"/>
      <c r="M583" s="10"/>
      <c r="N583" s="10"/>
    </row>
    <row r="584">
      <c r="A584" s="35"/>
      <c r="B584" s="35"/>
      <c r="C584" s="35"/>
      <c r="L584" s="10"/>
      <c r="M584" s="10"/>
      <c r="N584" s="10"/>
    </row>
    <row r="585">
      <c r="A585" s="35"/>
      <c r="B585" s="35"/>
      <c r="C585" s="35"/>
      <c r="L585" s="10"/>
      <c r="M585" s="10"/>
      <c r="N585" s="10"/>
    </row>
    <row r="586">
      <c r="A586" s="35"/>
      <c r="B586" s="35"/>
      <c r="C586" s="35"/>
      <c r="L586" s="10"/>
      <c r="M586" s="10"/>
      <c r="N586" s="10"/>
    </row>
    <row r="587">
      <c r="A587" s="35"/>
      <c r="B587" s="35"/>
      <c r="C587" s="35"/>
      <c r="L587" s="10"/>
      <c r="M587" s="10"/>
      <c r="N587" s="10"/>
    </row>
    <row r="588">
      <c r="A588" s="35"/>
      <c r="B588" s="35"/>
      <c r="C588" s="35"/>
      <c r="L588" s="10"/>
      <c r="M588" s="10"/>
      <c r="N588" s="10"/>
    </row>
    <row r="589">
      <c r="A589" s="35"/>
      <c r="B589" s="35"/>
      <c r="C589" s="35"/>
      <c r="L589" s="10"/>
      <c r="M589" s="10"/>
      <c r="N589" s="10"/>
    </row>
    <row r="590">
      <c r="A590" s="35"/>
      <c r="B590" s="35"/>
      <c r="C590" s="35"/>
      <c r="L590" s="10"/>
      <c r="M590" s="10"/>
      <c r="N590" s="10"/>
    </row>
    <row r="591">
      <c r="A591" s="35"/>
      <c r="B591" s="35"/>
      <c r="C591" s="35"/>
      <c r="L591" s="10"/>
      <c r="M591" s="10"/>
      <c r="N591" s="10"/>
    </row>
    <row r="592">
      <c r="A592" s="35"/>
      <c r="B592" s="35"/>
      <c r="C592" s="35"/>
      <c r="L592" s="10"/>
      <c r="M592" s="10"/>
      <c r="N592" s="10"/>
    </row>
    <row r="593">
      <c r="A593" s="35"/>
      <c r="B593" s="35"/>
      <c r="C593" s="35"/>
      <c r="L593" s="10"/>
      <c r="M593" s="10"/>
      <c r="N593" s="10"/>
    </row>
    <row r="594">
      <c r="A594" s="35"/>
      <c r="B594" s="35"/>
      <c r="C594" s="35"/>
      <c r="L594" s="10"/>
      <c r="M594" s="10"/>
      <c r="N594" s="10"/>
    </row>
    <row r="595">
      <c r="A595" s="35"/>
      <c r="B595" s="35"/>
      <c r="C595" s="35"/>
      <c r="L595" s="10"/>
      <c r="M595" s="10"/>
      <c r="N595" s="10"/>
    </row>
    <row r="596">
      <c r="A596" s="35"/>
      <c r="B596" s="35"/>
      <c r="C596" s="35"/>
      <c r="L596" s="10"/>
      <c r="M596" s="10"/>
      <c r="N596" s="10"/>
    </row>
    <row r="597">
      <c r="A597" s="35"/>
      <c r="B597" s="35"/>
      <c r="C597" s="35"/>
      <c r="L597" s="10"/>
      <c r="M597" s="10"/>
      <c r="N597" s="10"/>
    </row>
    <row r="598">
      <c r="A598" s="35"/>
      <c r="B598" s="35"/>
      <c r="C598" s="35"/>
      <c r="L598" s="10"/>
      <c r="M598" s="10"/>
      <c r="N598" s="10"/>
    </row>
    <row r="599">
      <c r="A599" s="35"/>
      <c r="B599" s="35"/>
      <c r="C599" s="35"/>
      <c r="L599" s="10"/>
      <c r="M599" s="10"/>
      <c r="N599" s="10"/>
    </row>
    <row r="600">
      <c r="A600" s="35"/>
      <c r="B600" s="35"/>
      <c r="C600" s="35"/>
      <c r="L600" s="10"/>
      <c r="M600" s="10"/>
      <c r="N600" s="10"/>
    </row>
    <row r="601">
      <c r="A601" s="35"/>
      <c r="B601" s="35"/>
      <c r="C601" s="35"/>
      <c r="L601" s="10"/>
      <c r="M601" s="10"/>
      <c r="N601" s="10"/>
    </row>
    <row r="602">
      <c r="A602" s="35"/>
      <c r="B602" s="35"/>
      <c r="C602" s="35"/>
      <c r="L602" s="10"/>
      <c r="M602" s="10"/>
      <c r="N602" s="10"/>
    </row>
    <row r="603">
      <c r="A603" s="35"/>
      <c r="B603" s="35"/>
      <c r="C603" s="35"/>
      <c r="L603" s="10"/>
      <c r="M603" s="10"/>
      <c r="N603" s="10"/>
    </row>
    <row r="604">
      <c r="A604" s="35"/>
      <c r="B604" s="35"/>
      <c r="C604" s="35"/>
      <c r="L604" s="10"/>
      <c r="M604" s="10"/>
      <c r="N604" s="10"/>
    </row>
    <row r="605">
      <c r="A605" s="35"/>
      <c r="B605" s="35"/>
      <c r="C605" s="35"/>
      <c r="L605" s="10"/>
      <c r="M605" s="10"/>
      <c r="N605" s="10"/>
    </row>
    <row r="606">
      <c r="A606" s="35"/>
      <c r="B606" s="35"/>
      <c r="C606" s="35"/>
      <c r="L606" s="10"/>
      <c r="M606" s="10"/>
      <c r="N606" s="10"/>
    </row>
    <row r="607">
      <c r="A607" s="35"/>
      <c r="B607" s="35"/>
      <c r="C607" s="35"/>
      <c r="L607" s="10"/>
      <c r="M607" s="10"/>
      <c r="N607" s="10"/>
    </row>
    <row r="608">
      <c r="A608" s="35"/>
      <c r="B608" s="35"/>
      <c r="C608" s="35"/>
      <c r="L608" s="10"/>
      <c r="M608" s="10"/>
      <c r="N608" s="10"/>
    </row>
    <row r="609">
      <c r="A609" s="35"/>
      <c r="B609" s="35"/>
      <c r="C609" s="35"/>
      <c r="L609" s="10"/>
      <c r="M609" s="10"/>
      <c r="N609" s="10"/>
    </row>
    <row r="610">
      <c r="A610" s="35"/>
      <c r="B610" s="35"/>
      <c r="C610" s="35"/>
      <c r="L610" s="10"/>
      <c r="M610" s="10"/>
      <c r="N610" s="10"/>
    </row>
    <row r="611">
      <c r="A611" s="35"/>
      <c r="B611" s="35"/>
      <c r="C611" s="35"/>
      <c r="L611" s="10"/>
      <c r="M611" s="10"/>
      <c r="N611" s="10"/>
    </row>
    <row r="612">
      <c r="A612" s="35"/>
      <c r="B612" s="35"/>
      <c r="C612" s="35"/>
      <c r="L612" s="10"/>
      <c r="M612" s="10"/>
      <c r="N612" s="10"/>
    </row>
    <row r="613">
      <c r="A613" s="35"/>
      <c r="B613" s="35"/>
      <c r="C613" s="35"/>
      <c r="L613" s="10"/>
      <c r="M613" s="10"/>
      <c r="N613" s="10"/>
    </row>
    <row r="614">
      <c r="A614" s="35"/>
      <c r="B614" s="35"/>
      <c r="C614" s="35"/>
      <c r="L614" s="10"/>
      <c r="M614" s="10"/>
      <c r="N614" s="10"/>
    </row>
    <row r="615">
      <c r="A615" s="35"/>
      <c r="B615" s="35"/>
      <c r="C615" s="35"/>
      <c r="L615" s="10"/>
      <c r="M615" s="10"/>
      <c r="N615" s="10"/>
    </row>
    <row r="616">
      <c r="A616" s="35"/>
      <c r="B616" s="35"/>
      <c r="C616" s="35"/>
      <c r="L616" s="10"/>
      <c r="M616" s="10"/>
      <c r="N616" s="10"/>
    </row>
    <row r="617">
      <c r="A617" s="35"/>
      <c r="B617" s="35"/>
      <c r="C617" s="35"/>
      <c r="L617" s="10"/>
      <c r="M617" s="10"/>
      <c r="N617" s="10"/>
    </row>
    <row r="618">
      <c r="A618" s="35"/>
      <c r="B618" s="35"/>
      <c r="C618" s="35"/>
      <c r="L618" s="10"/>
      <c r="M618" s="10"/>
      <c r="N618" s="10"/>
    </row>
    <row r="619">
      <c r="A619" s="35"/>
      <c r="B619" s="35"/>
      <c r="C619" s="35"/>
      <c r="L619" s="10"/>
      <c r="M619" s="10"/>
      <c r="N619" s="10"/>
    </row>
    <row r="620">
      <c r="A620" s="35"/>
      <c r="B620" s="35"/>
      <c r="C620" s="35"/>
      <c r="L620" s="10"/>
      <c r="M620" s="10"/>
      <c r="N620" s="10"/>
    </row>
    <row r="621">
      <c r="A621" s="35"/>
      <c r="B621" s="35"/>
      <c r="C621" s="35"/>
      <c r="L621" s="10"/>
      <c r="M621" s="10"/>
      <c r="N621" s="10"/>
    </row>
    <row r="622">
      <c r="A622" s="35"/>
      <c r="B622" s="35"/>
      <c r="C622" s="35"/>
      <c r="L622" s="10"/>
      <c r="M622" s="10"/>
      <c r="N622" s="10"/>
    </row>
    <row r="623">
      <c r="A623" s="35"/>
      <c r="B623" s="35"/>
      <c r="C623" s="35"/>
      <c r="L623" s="10"/>
      <c r="M623" s="10"/>
      <c r="N623" s="10"/>
    </row>
    <row r="624">
      <c r="A624" s="35"/>
      <c r="B624" s="35"/>
      <c r="C624" s="35"/>
      <c r="L624" s="10"/>
      <c r="M624" s="10"/>
      <c r="N624" s="10"/>
    </row>
    <row r="625">
      <c r="A625" s="35"/>
      <c r="B625" s="35"/>
      <c r="C625" s="35"/>
      <c r="L625" s="10"/>
      <c r="M625" s="10"/>
      <c r="N625" s="10"/>
    </row>
    <row r="626">
      <c r="A626" s="35"/>
      <c r="B626" s="35"/>
      <c r="C626" s="35"/>
      <c r="L626" s="10"/>
      <c r="M626" s="10"/>
      <c r="N626" s="10"/>
    </row>
    <row r="627">
      <c r="A627" s="35"/>
      <c r="B627" s="35"/>
      <c r="C627" s="35"/>
      <c r="L627" s="10"/>
      <c r="M627" s="10"/>
      <c r="N627" s="10"/>
    </row>
    <row r="628">
      <c r="A628" s="35"/>
      <c r="B628" s="35"/>
      <c r="C628" s="35"/>
      <c r="L628" s="10"/>
      <c r="M628" s="10"/>
      <c r="N628" s="10"/>
    </row>
    <row r="629">
      <c r="A629" s="35"/>
      <c r="B629" s="35"/>
      <c r="C629" s="35"/>
      <c r="L629" s="10"/>
      <c r="M629" s="10"/>
      <c r="N629" s="10"/>
    </row>
    <row r="630">
      <c r="A630" s="35"/>
      <c r="B630" s="35"/>
      <c r="C630" s="35"/>
      <c r="L630" s="10"/>
      <c r="M630" s="10"/>
      <c r="N630" s="10"/>
    </row>
    <row r="631">
      <c r="A631" s="35"/>
      <c r="B631" s="35"/>
      <c r="C631" s="35"/>
      <c r="L631" s="10"/>
      <c r="M631" s="10"/>
      <c r="N631" s="10"/>
    </row>
    <row r="632">
      <c r="A632" s="35"/>
      <c r="B632" s="35"/>
      <c r="C632" s="35"/>
      <c r="L632" s="10"/>
      <c r="M632" s="10"/>
      <c r="N632" s="10"/>
    </row>
    <row r="633">
      <c r="A633" s="35"/>
      <c r="B633" s="35"/>
      <c r="C633" s="35"/>
      <c r="L633" s="10"/>
      <c r="M633" s="10"/>
      <c r="N633" s="10"/>
    </row>
    <row r="634">
      <c r="A634" s="35"/>
      <c r="B634" s="35"/>
      <c r="C634" s="35"/>
      <c r="L634" s="10"/>
      <c r="M634" s="10"/>
      <c r="N634" s="10"/>
    </row>
    <row r="635">
      <c r="A635" s="35"/>
      <c r="B635" s="35"/>
      <c r="C635" s="35"/>
      <c r="L635" s="10"/>
      <c r="M635" s="10"/>
      <c r="N635" s="10"/>
    </row>
    <row r="636">
      <c r="A636" s="35"/>
      <c r="B636" s="35"/>
      <c r="C636" s="35"/>
      <c r="L636" s="10"/>
      <c r="M636" s="10"/>
      <c r="N636" s="10"/>
    </row>
    <row r="637">
      <c r="A637" s="35"/>
      <c r="B637" s="35"/>
      <c r="C637" s="35"/>
      <c r="L637" s="10"/>
      <c r="M637" s="10"/>
      <c r="N637" s="10"/>
    </row>
    <row r="638">
      <c r="A638" s="35"/>
      <c r="B638" s="35"/>
      <c r="C638" s="35"/>
      <c r="L638" s="10"/>
      <c r="M638" s="10"/>
      <c r="N638" s="10"/>
    </row>
    <row r="639">
      <c r="A639" s="35"/>
      <c r="B639" s="35"/>
      <c r="C639" s="35"/>
      <c r="L639" s="10"/>
      <c r="M639" s="10"/>
      <c r="N639" s="10"/>
    </row>
    <row r="640">
      <c r="A640" s="35"/>
      <c r="B640" s="35"/>
      <c r="C640" s="35"/>
      <c r="L640" s="10"/>
      <c r="M640" s="10"/>
      <c r="N640" s="10"/>
    </row>
    <row r="641">
      <c r="A641" s="35"/>
      <c r="B641" s="35"/>
      <c r="C641" s="35"/>
      <c r="L641" s="10"/>
      <c r="M641" s="10"/>
      <c r="N641" s="10"/>
    </row>
    <row r="642">
      <c r="A642" s="35"/>
      <c r="B642" s="35"/>
      <c r="C642" s="35"/>
      <c r="L642" s="10"/>
      <c r="M642" s="10"/>
      <c r="N642" s="10"/>
    </row>
    <row r="643">
      <c r="A643" s="35"/>
      <c r="B643" s="35"/>
      <c r="C643" s="35"/>
      <c r="L643" s="10"/>
      <c r="M643" s="10"/>
      <c r="N643" s="10"/>
    </row>
    <row r="644">
      <c r="A644" s="35"/>
      <c r="B644" s="35"/>
      <c r="C644" s="35"/>
      <c r="L644" s="10"/>
      <c r="M644" s="10"/>
      <c r="N644" s="10"/>
    </row>
    <row r="645">
      <c r="A645" s="35"/>
      <c r="B645" s="35"/>
      <c r="C645" s="35"/>
      <c r="L645" s="10"/>
      <c r="M645" s="10"/>
      <c r="N645" s="10"/>
    </row>
    <row r="646">
      <c r="A646" s="35"/>
      <c r="B646" s="35"/>
      <c r="C646" s="35"/>
      <c r="L646" s="10"/>
      <c r="M646" s="10"/>
      <c r="N646" s="10"/>
    </row>
    <row r="647">
      <c r="A647" s="35"/>
      <c r="B647" s="35"/>
      <c r="C647" s="35"/>
      <c r="L647" s="10"/>
      <c r="M647" s="10"/>
      <c r="N647" s="10"/>
    </row>
    <row r="648">
      <c r="A648" s="35"/>
      <c r="B648" s="35"/>
      <c r="C648" s="35"/>
      <c r="L648" s="10"/>
      <c r="M648" s="10"/>
      <c r="N648" s="10"/>
    </row>
    <row r="649">
      <c r="A649" s="35"/>
      <c r="B649" s="35"/>
      <c r="C649" s="35"/>
      <c r="L649" s="10"/>
      <c r="M649" s="10"/>
      <c r="N649" s="10"/>
    </row>
    <row r="650">
      <c r="A650" s="35"/>
      <c r="B650" s="35"/>
      <c r="C650" s="35"/>
      <c r="L650" s="10"/>
      <c r="M650" s="10"/>
      <c r="N650" s="10"/>
    </row>
    <row r="651">
      <c r="A651" s="35"/>
      <c r="B651" s="35"/>
      <c r="C651" s="35"/>
      <c r="L651" s="10"/>
      <c r="M651" s="10"/>
      <c r="N651" s="10"/>
    </row>
    <row r="652">
      <c r="A652" s="35"/>
      <c r="B652" s="35"/>
      <c r="C652" s="35"/>
      <c r="L652" s="10"/>
      <c r="M652" s="10"/>
      <c r="N652" s="10"/>
    </row>
    <row r="653">
      <c r="A653" s="35"/>
      <c r="B653" s="35"/>
      <c r="C653" s="35"/>
      <c r="L653" s="10"/>
      <c r="M653" s="10"/>
      <c r="N653" s="10"/>
    </row>
    <row r="654">
      <c r="A654" s="35"/>
      <c r="B654" s="35"/>
      <c r="C654" s="35"/>
      <c r="L654" s="10"/>
      <c r="M654" s="10"/>
      <c r="N654" s="10"/>
    </row>
    <row r="655">
      <c r="A655" s="35"/>
      <c r="B655" s="35"/>
      <c r="C655" s="35"/>
      <c r="L655" s="10"/>
      <c r="M655" s="10"/>
      <c r="N655" s="10"/>
    </row>
    <row r="656">
      <c r="A656" s="35"/>
      <c r="B656" s="35"/>
      <c r="C656" s="35"/>
      <c r="L656" s="10"/>
      <c r="M656" s="10"/>
      <c r="N656" s="10"/>
    </row>
    <row r="657">
      <c r="A657" s="35"/>
      <c r="B657" s="35"/>
      <c r="C657" s="35"/>
      <c r="L657" s="10"/>
      <c r="M657" s="10"/>
      <c r="N657" s="10"/>
    </row>
    <row r="658">
      <c r="A658" s="35"/>
      <c r="B658" s="35"/>
      <c r="C658" s="35"/>
      <c r="L658" s="10"/>
      <c r="M658" s="10"/>
      <c r="N658" s="10"/>
    </row>
    <row r="659">
      <c r="A659" s="35"/>
      <c r="B659" s="35"/>
      <c r="C659" s="35"/>
      <c r="L659" s="10"/>
      <c r="M659" s="10"/>
      <c r="N659" s="10"/>
    </row>
    <row r="660">
      <c r="A660" s="35"/>
      <c r="B660" s="35"/>
      <c r="C660" s="35"/>
      <c r="L660" s="10"/>
      <c r="M660" s="10"/>
      <c r="N660" s="10"/>
    </row>
    <row r="661">
      <c r="A661" s="35"/>
      <c r="B661" s="35"/>
      <c r="C661" s="35"/>
      <c r="L661" s="10"/>
      <c r="M661" s="10"/>
      <c r="N661" s="10"/>
    </row>
    <row r="662">
      <c r="A662" s="35"/>
      <c r="B662" s="35"/>
      <c r="C662" s="35"/>
      <c r="L662" s="10"/>
      <c r="M662" s="10"/>
      <c r="N662" s="10"/>
    </row>
    <row r="663">
      <c r="A663" s="35"/>
      <c r="B663" s="35"/>
      <c r="C663" s="35"/>
      <c r="L663" s="10"/>
      <c r="M663" s="10"/>
      <c r="N663" s="10"/>
    </row>
    <row r="664">
      <c r="A664" s="35"/>
      <c r="B664" s="35"/>
      <c r="C664" s="35"/>
      <c r="L664" s="10"/>
      <c r="M664" s="10"/>
      <c r="N664" s="10"/>
    </row>
    <row r="665">
      <c r="A665" s="35"/>
      <c r="B665" s="35"/>
      <c r="C665" s="35"/>
      <c r="L665" s="10"/>
      <c r="M665" s="10"/>
      <c r="N665" s="10"/>
    </row>
    <row r="666">
      <c r="A666" s="35"/>
      <c r="B666" s="35"/>
      <c r="C666" s="35"/>
      <c r="L666" s="10"/>
      <c r="M666" s="10"/>
      <c r="N666" s="10"/>
    </row>
    <row r="667">
      <c r="A667" s="35"/>
      <c r="B667" s="35"/>
      <c r="C667" s="35"/>
      <c r="L667" s="10"/>
      <c r="M667" s="10"/>
      <c r="N667" s="10"/>
    </row>
    <row r="668">
      <c r="A668" s="35"/>
      <c r="B668" s="35"/>
      <c r="C668" s="35"/>
      <c r="L668" s="10"/>
      <c r="M668" s="10"/>
      <c r="N668" s="10"/>
    </row>
    <row r="669">
      <c r="A669" s="35"/>
      <c r="B669" s="35"/>
      <c r="C669" s="35"/>
      <c r="L669" s="10"/>
      <c r="M669" s="10"/>
      <c r="N669" s="10"/>
    </row>
    <row r="670">
      <c r="A670" s="35"/>
      <c r="B670" s="35"/>
      <c r="C670" s="35"/>
      <c r="L670" s="10"/>
      <c r="M670" s="10"/>
      <c r="N670" s="10"/>
    </row>
    <row r="671">
      <c r="A671" s="35"/>
      <c r="B671" s="35"/>
      <c r="C671" s="35"/>
      <c r="L671" s="10"/>
      <c r="M671" s="10"/>
      <c r="N671" s="10"/>
    </row>
    <row r="672">
      <c r="A672" s="35"/>
      <c r="B672" s="35"/>
      <c r="C672" s="35"/>
      <c r="L672" s="10"/>
      <c r="M672" s="10"/>
      <c r="N672" s="10"/>
    </row>
    <row r="673">
      <c r="A673" s="35"/>
      <c r="B673" s="35"/>
      <c r="C673" s="35"/>
      <c r="L673" s="10"/>
      <c r="M673" s="10"/>
      <c r="N673" s="10"/>
    </row>
    <row r="674">
      <c r="A674" s="35"/>
      <c r="B674" s="35"/>
      <c r="C674" s="35"/>
      <c r="L674" s="10"/>
      <c r="M674" s="10"/>
      <c r="N674" s="10"/>
    </row>
    <row r="675">
      <c r="A675" s="35"/>
      <c r="B675" s="35"/>
      <c r="C675" s="35"/>
      <c r="L675" s="10"/>
      <c r="M675" s="10"/>
      <c r="N675" s="10"/>
    </row>
    <row r="676">
      <c r="A676" s="35"/>
      <c r="B676" s="35"/>
      <c r="C676" s="35"/>
      <c r="L676" s="10"/>
      <c r="M676" s="10"/>
      <c r="N676" s="10"/>
    </row>
    <row r="677">
      <c r="A677" s="35"/>
      <c r="B677" s="35"/>
      <c r="C677" s="35"/>
      <c r="L677" s="10"/>
      <c r="M677" s="10"/>
      <c r="N677" s="10"/>
    </row>
    <row r="678">
      <c r="A678" s="35"/>
      <c r="B678" s="35"/>
      <c r="C678" s="35"/>
      <c r="L678" s="10"/>
      <c r="M678" s="10"/>
      <c r="N678" s="10"/>
    </row>
    <row r="679">
      <c r="A679" s="35"/>
      <c r="B679" s="35"/>
      <c r="C679" s="35"/>
      <c r="L679" s="10"/>
      <c r="M679" s="10"/>
      <c r="N679" s="10"/>
    </row>
    <row r="680">
      <c r="A680" s="35"/>
      <c r="B680" s="35"/>
      <c r="C680" s="35"/>
      <c r="L680" s="10"/>
      <c r="M680" s="10"/>
      <c r="N680" s="10"/>
    </row>
    <row r="681">
      <c r="A681" s="35"/>
      <c r="B681" s="35"/>
      <c r="C681" s="35"/>
      <c r="L681" s="10"/>
      <c r="M681" s="10"/>
      <c r="N681" s="10"/>
    </row>
    <row r="682">
      <c r="A682" s="35"/>
      <c r="B682" s="35"/>
      <c r="C682" s="35"/>
      <c r="L682" s="10"/>
      <c r="M682" s="10"/>
      <c r="N682" s="10"/>
    </row>
    <row r="683">
      <c r="A683" s="35"/>
      <c r="B683" s="35"/>
      <c r="C683" s="35"/>
      <c r="L683" s="10"/>
      <c r="M683" s="10"/>
      <c r="N683" s="10"/>
    </row>
    <row r="684">
      <c r="A684" s="35"/>
      <c r="B684" s="35"/>
      <c r="C684" s="35"/>
      <c r="L684" s="10"/>
      <c r="M684" s="10"/>
      <c r="N684" s="10"/>
    </row>
    <row r="685">
      <c r="A685" s="35"/>
      <c r="B685" s="35"/>
      <c r="C685" s="35"/>
      <c r="L685" s="10"/>
      <c r="M685" s="10"/>
      <c r="N685" s="10"/>
    </row>
    <row r="686">
      <c r="A686" s="35"/>
      <c r="B686" s="35"/>
      <c r="C686" s="35"/>
      <c r="L686" s="10"/>
      <c r="M686" s="10"/>
      <c r="N686" s="10"/>
    </row>
    <row r="687">
      <c r="A687" s="35"/>
      <c r="B687" s="35"/>
      <c r="C687" s="35"/>
      <c r="L687" s="10"/>
      <c r="M687" s="10"/>
      <c r="N687" s="10"/>
    </row>
    <row r="688">
      <c r="A688" s="35"/>
      <c r="B688" s="35"/>
      <c r="C688" s="35"/>
      <c r="L688" s="10"/>
      <c r="M688" s="10"/>
      <c r="N688" s="10"/>
    </row>
    <row r="689">
      <c r="A689" s="35"/>
      <c r="B689" s="35"/>
      <c r="C689" s="35"/>
      <c r="L689" s="10"/>
      <c r="M689" s="10"/>
      <c r="N689" s="10"/>
    </row>
    <row r="690">
      <c r="A690" s="35"/>
      <c r="B690" s="35"/>
      <c r="C690" s="35"/>
      <c r="L690" s="10"/>
      <c r="M690" s="10"/>
      <c r="N690" s="10"/>
    </row>
    <row r="691">
      <c r="A691" s="35"/>
      <c r="B691" s="35"/>
      <c r="C691" s="35"/>
      <c r="L691" s="10"/>
      <c r="M691" s="10"/>
      <c r="N691" s="10"/>
    </row>
    <row r="692">
      <c r="A692" s="35"/>
      <c r="B692" s="35"/>
      <c r="C692" s="35"/>
      <c r="L692" s="10"/>
      <c r="M692" s="10"/>
      <c r="N692" s="10"/>
    </row>
    <row r="693">
      <c r="A693" s="35"/>
      <c r="B693" s="35"/>
      <c r="C693" s="35"/>
      <c r="L693" s="10"/>
      <c r="M693" s="10"/>
      <c r="N693" s="10"/>
    </row>
    <row r="694">
      <c r="A694" s="35"/>
      <c r="B694" s="35"/>
      <c r="C694" s="35"/>
      <c r="L694" s="10"/>
      <c r="M694" s="10"/>
      <c r="N694" s="10"/>
    </row>
    <row r="695">
      <c r="A695" s="35"/>
      <c r="B695" s="35"/>
      <c r="C695" s="35"/>
      <c r="L695" s="10"/>
      <c r="M695" s="10"/>
      <c r="N695" s="10"/>
    </row>
    <row r="696">
      <c r="A696" s="35"/>
      <c r="B696" s="35"/>
      <c r="C696" s="35"/>
      <c r="L696" s="10"/>
      <c r="M696" s="10"/>
      <c r="N696" s="10"/>
    </row>
    <row r="697">
      <c r="A697" s="35"/>
      <c r="B697" s="35"/>
      <c r="C697" s="35"/>
      <c r="L697" s="10"/>
      <c r="M697" s="10"/>
      <c r="N697" s="10"/>
    </row>
    <row r="698">
      <c r="A698" s="35"/>
      <c r="B698" s="35"/>
      <c r="C698" s="35"/>
      <c r="L698" s="10"/>
      <c r="M698" s="10"/>
      <c r="N698" s="10"/>
    </row>
    <row r="699">
      <c r="A699" s="35"/>
      <c r="B699" s="35"/>
      <c r="C699" s="35"/>
      <c r="L699" s="10"/>
      <c r="M699" s="10"/>
      <c r="N699" s="10"/>
    </row>
    <row r="700">
      <c r="A700" s="35"/>
      <c r="B700" s="35"/>
      <c r="C700" s="35"/>
      <c r="L700" s="10"/>
      <c r="M700" s="10"/>
      <c r="N700" s="10"/>
    </row>
    <row r="701">
      <c r="A701" s="35"/>
      <c r="B701" s="35"/>
      <c r="C701" s="35"/>
      <c r="L701" s="10"/>
      <c r="M701" s="10"/>
      <c r="N701" s="10"/>
    </row>
    <row r="702">
      <c r="A702" s="35"/>
      <c r="B702" s="35"/>
      <c r="C702" s="35"/>
      <c r="L702" s="10"/>
      <c r="M702" s="10"/>
      <c r="N702" s="10"/>
    </row>
    <row r="703">
      <c r="A703" s="35"/>
      <c r="B703" s="35"/>
      <c r="C703" s="35"/>
      <c r="L703" s="10"/>
      <c r="M703" s="10"/>
      <c r="N703" s="10"/>
    </row>
    <row r="704">
      <c r="A704" s="35"/>
      <c r="B704" s="35"/>
      <c r="C704" s="35"/>
      <c r="L704" s="10"/>
      <c r="M704" s="10"/>
      <c r="N704" s="10"/>
    </row>
    <row r="705">
      <c r="A705" s="35"/>
      <c r="B705" s="35"/>
      <c r="C705" s="35"/>
      <c r="L705" s="10"/>
      <c r="M705" s="10"/>
      <c r="N705" s="10"/>
    </row>
    <row r="706">
      <c r="A706" s="35"/>
      <c r="B706" s="35"/>
      <c r="C706" s="35"/>
      <c r="L706" s="10"/>
      <c r="M706" s="10"/>
      <c r="N706" s="10"/>
    </row>
    <row r="707">
      <c r="A707" s="35"/>
      <c r="B707" s="35"/>
      <c r="C707" s="35"/>
      <c r="L707" s="10"/>
      <c r="M707" s="10"/>
      <c r="N707" s="10"/>
    </row>
    <row r="708">
      <c r="A708" s="35"/>
      <c r="B708" s="35"/>
      <c r="C708" s="35"/>
      <c r="L708" s="10"/>
      <c r="M708" s="10"/>
      <c r="N708" s="10"/>
    </row>
    <row r="709">
      <c r="A709" s="35"/>
      <c r="B709" s="35"/>
      <c r="C709" s="35"/>
      <c r="L709" s="10"/>
      <c r="M709" s="10"/>
      <c r="N709" s="10"/>
    </row>
    <row r="710">
      <c r="A710" s="35"/>
      <c r="B710" s="35"/>
      <c r="C710" s="35"/>
      <c r="L710" s="10"/>
      <c r="M710" s="10"/>
      <c r="N710" s="10"/>
    </row>
    <row r="711">
      <c r="A711" s="35"/>
      <c r="B711" s="35"/>
      <c r="C711" s="35"/>
      <c r="L711" s="10"/>
      <c r="M711" s="10"/>
      <c r="N711" s="10"/>
    </row>
    <row r="712">
      <c r="A712" s="35"/>
      <c r="B712" s="35"/>
      <c r="C712" s="35"/>
      <c r="L712" s="10"/>
      <c r="M712" s="10"/>
      <c r="N712" s="10"/>
    </row>
    <row r="713">
      <c r="A713" s="35"/>
      <c r="B713" s="35"/>
      <c r="C713" s="35"/>
      <c r="L713" s="10"/>
      <c r="M713" s="10"/>
      <c r="N713" s="10"/>
    </row>
    <row r="714">
      <c r="A714" s="35"/>
      <c r="B714" s="35"/>
      <c r="C714" s="35"/>
      <c r="L714" s="10"/>
      <c r="M714" s="10"/>
      <c r="N714" s="10"/>
    </row>
    <row r="715">
      <c r="A715" s="35"/>
      <c r="B715" s="35"/>
      <c r="C715" s="35"/>
      <c r="L715" s="10"/>
      <c r="M715" s="10"/>
      <c r="N715" s="10"/>
    </row>
    <row r="716">
      <c r="A716" s="35"/>
      <c r="B716" s="35"/>
      <c r="C716" s="35"/>
      <c r="L716" s="10"/>
      <c r="M716" s="10"/>
      <c r="N716" s="10"/>
    </row>
    <row r="717">
      <c r="A717" s="35"/>
      <c r="B717" s="35"/>
      <c r="C717" s="35"/>
      <c r="L717" s="10"/>
      <c r="M717" s="10"/>
      <c r="N717" s="10"/>
    </row>
    <row r="718">
      <c r="A718" s="35"/>
      <c r="B718" s="35"/>
      <c r="C718" s="35"/>
      <c r="L718" s="10"/>
      <c r="M718" s="10"/>
      <c r="N718" s="10"/>
    </row>
    <row r="719">
      <c r="A719" s="35"/>
      <c r="B719" s="35"/>
      <c r="C719" s="35"/>
      <c r="L719" s="10"/>
      <c r="M719" s="10"/>
      <c r="N719" s="10"/>
    </row>
    <row r="720">
      <c r="A720" s="35"/>
      <c r="B720" s="35"/>
      <c r="C720" s="35"/>
      <c r="L720" s="10"/>
      <c r="M720" s="10"/>
      <c r="N720" s="10"/>
    </row>
    <row r="721">
      <c r="A721" s="35"/>
      <c r="B721" s="35"/>
      <c r="C721" s="35"/>
      <c r="L721" s="10"/>
      <c r="M721" s="10"/>
      <c r="N721" s="10"/>
    </row>
    <row r="722">
      <c r="A722" s="35"/>
      <c r="B722" s="35"/>
      <c r="C722" s="35"/>
      <c r="L722" s="10"/>
      <c r="M722" s="10"/>
      <c r="N722" s="10"/>
    </row>
    <row r="723">
      <c r="A723" s="35"/>
      <c r="B723" s="35"/>
      <c r="C723" s="35"/>
      <c r="L723" s="10"/>
      <c r="M723" s="10"/>
      <c r="N723" s="10"/>
    </row>
    <row r="724">
      <c r="A724" s="35"/>
      <c r="B724" s="35"/>
      <c r="C724" s="35"/>
      <c r="L724" s="10"/>
      <c r="M724" s="10"/>
      <c r="N724" s="10"/>
    </row>
    <row r="725">
      <c r="A725" s="35"/>
      <c r="B725" s="35"/>
      <c r="C725" s="35"/>
      <c r="L725" s="10"/>
      <c r="M725" s="10"/>
      <c r="N725" s="10"/>
    </row>
    <row r="726">
      <c r="A726" s="35"/>
      <c r="B726" s="35"/>
      <c r="C726" s="35"/>
      <c r="L726" s="10"/>
      <c r="M726" s="10"/>
      <c r="N726" s="10"/>
    </row>
    <row r="727">
      <c r="A727" s="35"/>
      <c r="B727" s="35"/>
      <c r="C727" s="35"/>
      <c r="L727" s="10"/>
      <c r="M727" s="10"/>
      <c r="N727" s="10"/>
    </row>
    <row r="728">
      <c r="A728" s="35"/>
      <c r="B728" s="35"/>
      <c r="C728" s="35"/>
      <c r="L728" s="10"/>
      <c r="M728" s="10"/>
      <c r="N728" s="10"/>
    </row>
    <row r="729">
      <c r="A729" s="35"/>
      <c r="B729" s="35"/>
      <c r="C729" s="35"/>
      <c r="L729" s="10"/>
      <c r="M729" s="10"/>
      <c r="N729" s="10"/>
    </row>
    <row r="730">
      <c r="A730" s="35"/>
      <c r="B730" s="35"/>
      <c r="C730" s="35"/>
      <c r="L730" s="10"/>
      <c r="M730" s="10"/>
      <c r="N730" s="10"/>
    </row>
    <row r="731">
      <c r="A731" s="35"/>
      <c r="B731" s="35"/>
      <c r="C731" s="35"/>
      <c r="L731" s="10"/>
      <c r="M731" s="10"/>
      <c r="N731" s="10"/>
    </row>
    <row r="732">
      <c r="A732" s="35"/>
      <c r="B732" s="35"/>
      <c r="C732" s="35"/>
      <c r="L732" s="10"/>
      <c r="M732" s="10"/>
      <c r="N732" s="10"/>
    </row>
    <row r="733">
      <c r="A733" s="35"/>
      <c r="B733" s="35"/>
      <c r="C733" s="35"/>
      <c r="L733" s="10"/>
      <c r="M733" s="10"/>
      <c r="N733" s="10"/>
    </row>
    <row r="734">
      <c r="A734" s="35"/>
      <c r="B734" s="35"/>
      <c r="C734" s="35"/>
      <c r="L734" s="10"/>
      <c r="M734" s="10"/>
      <c r="N734" s="10"/>
    </row>
    <row r="735">
      <c r="A735" s="35"/>
      <c r="B735" s="35"/>
      <c r="C735" s="35"/>
      <c r="L735" s="10"/>
      <c r="M735" s="10"/>
      <c r="N735" s="10"/>
    </row>
    <row r="736">
      <c r="A736" s="35"/>
      <c r="B736" s="35"/>
      <c r="C736" s="35"/>
      <c r="L736" s="10"/>
      <c r="M736" s="10"/>
      <c r="N736" s="10"/>
    </row>
    <row r="737">
      <c r="A737" s="35"/>
      <c r="B737" s="35"/>
      <c r="C737" s="35"/>
      <c r="L737" s="10"/>
      <c r="M737" s="10"/>
      <c r="N737" s="10"/>
    </row>
    <row r="738">
      <c r="A738" s="35"/>
      <c r="B738" s="35"/>
      <c r="C738" s="35"/>
      <c r="L738" s="10"/>
      <c r="M738" s="10"/>
      <c r="N738" s="10"/>
    </row>
    <row r="739">
      <c r="A739" s="35"/>
      <c r="B739" s="35"/>
      <c r="C739" s="35"/>
      <c r="L739" s="10"/>
      <c r="M739" s="10"/>
      <c r="N739" s="10"/>
    </row>
    <row r="740">
      <c r="A740" s="35"/>
      <c r="B740" s="35"/>
      <c r="C740" s="35"/>
      <c r="L740" s="10"/>
      <c r="M740" s="10"/>
      <c r="N740" s="10"/>
    </row>
    <row r="741">
      <c r="A741" s="35"/>
      <c r="B741" s="35"/>
      <c r="C741" s="35"/>
      <c r="L741" s="10"/>
      <c r="M741" s="10"/>
      <c r="N741" s="10"/>
    </row>
    <row r="742">
      <c r="A742" s="35"/>
      <c r="B742" s="35"/>
      <c r="C742" s="35"/>
      <c r="L742" s="10"/>
      <c r="M742" s="10"/>
      <c r="N742" s="10"/>
    </row>
    <row r="743">
      <c r="A743" s="35"/>
      <c r="B743" s="35"/>
      <c r="C743" s="35"/>
      <c r="L743" s="10"/>
      <c r="M743" s="10"/>
      <c r="N743" s="10"/>
    </row>
    <row r="744">
      <c r="A744" s="35"/>
      <c r="B744" s="35"/>
      <c r="C744" s="35"/>
      <c r="L744" s="10"/>
      <c r="M744" s="10"/>
      <c r="N744" s="10"/>
    </row>
    <row r="745">
      <c r="A745" s="35"/>
      <c r="B745" s="35"/>
      <c r="C745" s="35"/>
      <c r="L745" s="10"/>
      <c r="M745" s="10"/>
      <c r="N745" s="10"/>
    </row>
    <row r="746">
      <c r="A746" s="35"/>
      <c r="B746" s="35"/>
      <c r="C746" s="35"/>
      <c r="L746" s="10"/>
      <c r="M746" s="10"/>
      <c r="N746" s="10"/>
    </row>
    <row r="747">
      <c r="A747" s="35"/>
      <c r="B747" s="35"/>
      <c r="C747" s="35"/>
      <c r="L747" s="10"/>
      <c r="M747" s="10"/>
      <c r="N747" s="10"/>
    </row>
    <row r="748">
      <c r="A748" s="35"/>
      <c r="B748" s="35"/>
      <c r="C748" s="35"/>
      <c r="L748" s="10"/>
      <c r="M748" s="10"/>
      <c r="N748" s="10"/>
    </row>
    <row r="749">
      <c r="A749" s="35"/>
      <c r="B749" s="35"/>
      <c r="C749" s="35"/>
      <c r="L749" s="10"/>
      <c r="M749" s="10"/>
      <c r="N749" s="10"/>
    </row>
    <row r="750">
      <c r="A750" s="35"/>
      <c r="B750" s="35"/>
      <c r="C750" s="35"/>
      <c r="L750" s="10"/>
      <c r="M750" s="10"/>
      <c r="N750" s="10"/>
    </row>
    <row r="751">
      <c r="A751" s="35"/>
      <c r="B751" s="35"/>
      <c r="C751" s="35"/>
      <c r="L751" s="10"/>
      <c r="M751" s="10"/>
      <c r="N751" s="10"/>
    </row>
    <row r="752">
      <c r="A752" s="35"/>
      <c r="B752" s="35"/>
      <c r="C752" s="35"/>
      <c r="L752" s="10"/>
      <c r="M752" s="10"/>
      <c r="N752" s="10"/>
    </row>
    <row r="753">
      <c r="A753" s="35"/>
      <c r="B753" s="35"/>
      <c r="C753" s="35"/>
      <c r="L753" s="10"/>
      <c r="M753" s="10"/>
      <c r="N753" s="10"/>
    </row>
    <row r="754">
      <c r="A754" s="35"/>
      <c r="B754" s="35"/>
      <c r="C754" s="35"/>
      <c r="L754" s="10"/>
      <c r="M754" s="10"/>
      <c r="N754" s="10"/>
    </row>
    <row r="755">
      <c r="A755" s="35"/>
      <c r="B755" s="35"/>
      <c r="C755" s="35"/>
      <c r="L755" s="10"/>
      <c r="M755" s="10"/>
      <c r="N755" s="10"/>
    </row>
    <row r="756">
      <c r="A756" s="35"/>
      <c r="B756" s="35"/>
      <c r="C756" s="35"/>
      <c r="L756" s="10"/>
      <c r="M756" s="10"/>
      <c r="N756" s="10"/>
    </row>
    <row r="757">
      <c r="A757" s="35"/>
      <c r="B757" s="35"/>
      <c r="C757" s="35"/>
      <c r="L757" s="10"/>
      <c r="M757" s="10"/>
      <c r="N757" s="10"/>
    </row>
    <row r="758">
      <c r="A758" s="35"/>
      <c r="B758" s="35"/>
      <c r="C758" s="35"/>
      <c r="L758" s="10"/>
      <c r="M758" s="10"/>
      <c r="N758" s="10"/>
    </row>
    <row r="759">
      <c r="A759" s="35"/>
      <c r="B759" s="35"/>
      <c r="C759" s="35"/>
      <c r="L759" s="10"/>
      <c r="M759" s="10"/>
      <c r="N759" s="10"/>
    </row>
    <row r="760">
      <c r="A760" s="35"/>
      <c r="B760" s="35"/>
      <c r="C760" s="35"/>
      <c r="L760" s="10"/>
      <c r="M760" s="10"/>
      <c r="N760" s="10"/>
    </row>
    <row r="761">
      <c r="A761" s="35"/>
      <c r="B761" s="35"/>
      <c r="C761" s="35"/>
      <c r="L761" s="10"/>
      <c r="M761" s="10"/>
      <c r="N761" s="10"/>
    </row>
    <row r="762">
      <c r="A762" s="35"/>
      <c r="B762" s="35"/>
      <c r="C762" s="35"/>
      <c r="L762" s="10"/>
      <c r="M762" s="10"/>
      <c r="N762" s="10"/>
    </row>
    <row r="763">
      <c r="A763" s="35"/>
      <c r="B763" s="35"/>
      <c r="C763" s="35"/>
      <c r="L763" s="10"/>
      <c r="M763" s="10"/>
      <c r="N763" s="10"/>
    </row>
    <row r="764">
      <c r="A764" s="35"/>
      <c r="B764" s="35"/>
      <c r="C764" s="35"/>
      <c r="L764" s="10"/>
      <c r="M764" s="10"/>
      <c r="N764" s="10"/>
    </row>
    <row r="765">
      <c r="A765" s="35"/>
      <c r="B765" s="35"/>
      <c r="C765" s="35"/>
      <c r="L765" s="10"/>
      <c r="M765" s="10"/>
      <c r="N765" s="10"/>
    </row>
    <row r="766">
      <c r="A766" s="35"/>
      <c r="B766" s="35"/>
      <c r="C766" s="35"/>
      <c r="L766" s="10"/>
      <c r="M766" s="10"/>
      <c r="N766" s="10"/>
    </row>
    <row r="767">
      <c r="A767" s="35"/>
      <c r="B767" s="35"/>
      <c r="C767" s="35"/>
      <c r="L767" s="10"/>
      <c r="M767" s="10"/>
      <c r="N767" s="10"/>
    </row>
    <row r="768">
      <c r="A768" s="35"/>
      <c r="B768" s="35"/>
      <c r="C768" s="35"/>
      <c r="L768" s="10"/>
      <c r="M768" s="10"/>
      <c r="N768" s="10"/>
    </row>
    <row r="769">
      <c r="A769" s="35"/>
      <c r="B769" s="35"/>
      <c r="C769" s="35"/>
      <c r="L769" s="10"/>
      <c r="M769" s="10"/>
      <c r="N769" s="10"/>
    </row>
    <row r="770">
      <c r="A770" s="35"/>
      <c r="B770" s="35"/>
      <c r="C770" s="35"/>
      <c r="L770" s="10"/>
      <c r="M770" s="10"/>
      <c r="N770" s="10"/>
    </row>
    <row r="771">
      <c r="A771" s="35"/>
      <c r="B771" s="35"/>
      <c r="C771" s="35"/>
      <c r="L771" s="10"/>
      <c r="M771" s="10"/>
      <c r="N771" s="10"/>
    </row>
    <row r="772">
      <c r="A772" s="35"/>
      <c r="B772" s="35"/>
      <c r="C772" s="35"/>
      <c r="L772" s="10"/>
      <c r="M772" s="10"/>
      <c r="N772" s="10"/>
    </row>
    <row r="773">
      <c r="A773" s="35"/>
      <c r="B773" s="35"/>
      <c r="C773" s="35"/>
      <c r="L773" s="10"/>
      <c r="M773" s="10"/>
      <c r="N773" s="10"/>
    </row>
    <row r="774">
      <c r="A774" s="35"/>
      <c r="B774" s="35"/>
      <c r="C774" s="35"/>
      <c r="L774" s="10"/>
      <c r="M774" s="10"/>
      <c r="N774" s="10"/>
    </row>
    <row r="775">
      <c r="A775" s="35"/>
      <c r="B775" s="35"/>
      <c r="C775" s="35"/>
      <c r="L775" s="10"/>
      <c r="M775" s="10"/>
      <c r="N775" s="10"/>
    </row>
    <row r="776">
      <c r="A776" s="35"/>
      <c r="B776" s="35"/>
      <c r="C776" s="35"/>
      <c r="L776" s="10"/>
      <c r="M776" s="10"/>
      <c r="N776" s="10"/>
    </row>
    <row r="777">
      <c r="A777" s="35"/>
      <c r="B777" s="35"/>
      <c r="C777" s="35"/>
      <c r="L777" s="10"/>
      <c r="M777" s="10"/>
      <c r="N777" s="10"/>
    </row>
    <row r="778">
      <c r="A778" s="35"/>
      <c r="B778" s="35"/>
      <c r="C778" s="35"/>
      <c r="L778" s="10"/>
      <c r="M778" s="10"/>
      <c r="N778" s="10"/>
    </row>
    <row r="779">
      <c r="A779" s="35"/>
      <c r="B779" s="35"/>
      <c r="C779" s="35"/>
      <c r="L779" s="10"/>
      <c r="M779" s="10"/>
      <c r="N779" s="10"/>
    </row>
    <row r="780">
      <c r="A780" s="35"/>
      <c r="B780" s="35"/>
      <c r="C780" s="35"/>
      <c r="L780" s="10"/>
      <c r="M780" s="10"/>
      <c r="N780" s="10"/>
    </row>
    <row r="781">
      <c r="A781" s="35"/>
      <c r="B781" s="35"/>
      <c r="C781" s="35"/>
      <c r="L781" s="10"/>
      <c r="M781" s="10"/>
      <c r="N781" s="10"/>
    </row>
    <row r="782">
      <c r="A782" s="35"/>
      <c r="B782" s="35"/>
      <c r="C782" s="35"/>
      <c r="L782" s="10"/>
      <c r="M782" s="10"/>
      <c r="N782" s="10"/>
    </row>
    <row r="783">
      <c r="A783" s="35"/>
      <c r="B783" s="35"/>
      <c r="C783" s="35"/>
      <c r="L783" s="10"/>
      <c r="M783" s="10"/>
      <c r="N783" s="10"/>
    </row>
    <row r="784">
      <c r="A784" s="35"/>
      <c r="B784" s="35"/>
      <c r="C784" s="35"/>
      <c r="L784" s="10"/>
      <c r="M784" s="10"/>
      <c r="N784" s="10"/>
    </row>
    <row r="785">
      <c r="A785" s="35"/>
      <c r="B785" s="35"/>
      <c r="C785" s="35"/>
      <c r="L785" s="10"/>
      <c r="M785" s="10"/>
      <c r="N785" s="10"/>
    </row>
    <row r="786">
      <c r="A786" s="35"/>
      <c r="B786" s="35"/>
      <c r="C786" s="35"/>
      <c r="L786" s="10"/>
      <c r="M786" s="10"/>
      <c r="N786" s="10"/>
    </row>
    <row r="787">
      <c r="A787" s="35"/>
      <c r="B787" s="35"/>
      <c r="C787" s="35"/>
      <c r="L787" s="10"/>
      <c r="M787" s="10"/>
      <c r="N787" s="10"/>
    </row>
    <row r="788">
      <c r="A788" s="35"/>
      <c r="B788" s="35"/>
      <c r="C788" s="35"/>
      <c r="L788" s="10"/>
      <c r="M788" s="10"/>
      <c r="N788" s="10"/>
    </row>
    <row r="789">
      <c r="A789" s="35"/>
      <c r="B789" s="35"/>
      <c r="C789" s="35"/>
      <c r="L789" s="10"/>
      <c r="M789" s="10"/>
      <c r="N789" s="10"/>
    </row>
    <row r="790">
      <c r="A790" s="35"/>
      <c r="B790" s="35"/>
      <c r="C790" s="35"/>
      <c r="L790" s="10"/>
      <c r="M790" s="10"/>
      <c r="N790" s="10"/>
    </row>
    <row r="791">
      <c r="A791" s="35"/>
      <c r="B791" s="35"/>
      <c r="C791" s="35"/>
      <c r="L791" s="10"/>
      <c r="M791" s="10"/>
      <c r="N791" s="10"/>
    </row>
    <row r="792">
      <c r="A792" s="35"/>
      <c r="B792" s="35"/>
      <c r="C792" s="35"/>
      <c r="L792" s="10"/>
      <c r="M792" s="10"/>
      <c r="N792" s="10"/>
    </row>
    <row r="793">
      <c r="A793" s="35"/>
      <c r="B793" s="35"/>
      <c r="C793" s="35"/>
      <c r="L793" s="10"/>
      <c r="M793" s="10"/>
      <c r="N793" s="10"/>
    </row>
    <row r="794">
      <c r="A794" s="35"/>
      <c r="B794" s="35"/>
      <c r="C794" s="35"/>
      <c r="L794" s="10"/>
      <c r="M794" s="10"/>
      <c r="N794" s="10"/>
    </row>
    <row r="795">
      <c r="A795" s="35"/>
      <c r="B795" s="35"/>
      <c r="C795" s="35"/>
      <c r="L795" s="10"/>
      <c r="M795" s="10"/>
      <c r="N795" s="10"/>
    </row>
    <row r="796">
      <c r="A796" s="35"/>
      <c r="B796" s="35"/>
      <c r="C796" s="35"/>
      <c r="L796" s="10"/>
      <c r="M796" s="10"/>
      <c r="N796" s="10"/>
    </row>
    <row r="797">
      <c r="A797" s="35"/>
      <c r="B797" s="35"/>
      <c r="C797" s="35"/>
      <c r="L797" s="10"/>
      <c r="M797" s="10"/>
      <c r="N797" s="10"/>
    </row>
    <row r="798">
      <c r="A798" s="35"/>
      <c r="B798" s="35"/>
      <c r="C798" s="35"/>
      <c r="L798" s="10"/>
      <c r="M798" s="10"/>
      <c r="N798" s="10"/>
    </row>
    <row r="799">
      <c r="A799" s="35"/>
      <c r="B799" s="35"/>
      <c r="C799" s="35"/>
      <c r="L799" s="10"/>
      <c r="M799" s="10"/>
      <c r="N799" s="10"/>
    </row>
    <row r="800">
      <c r="A800" s="35"/>
      <c r="B800" s="35"/>
      <c r="C800" s="35"/>
      <c r="L800" s="10"/>
      <c r="M800" s="10"/>
      <c r="N800" s="10"/>
    </row>
    <row r="801">
      <c r="A801" s="35"/>
      <c r="B801" s="35"/>
      <c r="C801" s="35"/>
      <c r="L801" s="10"/>
      <c r="M801" s="10"/>
      <c r="N801" s="10"/>
    </row>
    <row r="802">
      <c r="A802" s="35"/>
      <c r="B802" s="35"/>
      <c r="C802" s="35"/>
      <c r="L802" s="10"/>
      <c r="M802" s="10"/>
      <c r="N802" s="10"/>
    </row>
    <row r="803">
      <c r="A803" s="35"/>
      <c r="B803" s="35"/>
      <c r="C803" s="35"/>
      <c r="L803" s="10"/>
      <c r="M803" s="10"/>
      <c r="N803" s="10"/>
    </row>
    <row r="804">
      <c r="A804" s="35"/>
      <c r="B804" s="35"/>
      <c r="C804" s="35"/>
      <c r="L804" s="10"/>
      <c r="M804" s="10"/>
      <c r="N804" s="10"/>
    </row>
    <row r="805">
      <c r="A805" s="35"/>
      <c r="B805" s="35"/>
      <c r="C805" s="35"/>
      <c r="L805" s="10"/>
      <c r="M805" s="10"/>
      <c r="N805" s="10"/>
    </row>
    <row r="806">
      <c r="A806" s="35"/>
      <c r="B806" s="35"/>
      <c r="C806" s="35"/>
      <c r="L806" s="10"/>
      <c r="M806" s="10"/>
      <c r="N806" s="10"/>
    </row>
    <row r="807">
      <c r="A807" s="35"/>
      <c r="B807" s="35"/>
      <c r="C807" s="35"/>
      <c r="L807" s="10"/>
      <c r="M807" s="10"/>
      <c r="N807" s="10"/>
    </row>
    <row r="808">
      <c r="A808" s="35"/>
      <c r="B808" s="35"/>
      <c r="C808" s="35"/>
      <c r="L808" s="10"/>
      <c r="M808" s="10"/>
      <c r="N808" s="10"/>
    </row>
    <row r="809">
      <c r="A809" s="35"/>
      <c r="B809" s="35"/>
      <c r="C809" s="35"/>
      <c r="L809" s="10"/>
      <c r="M809" s="10"/>
      <c r="N809" s="10"/>
    </row>
    <row r="810">
      <c r="A810" s="35"/>
      <c r="B810" s="35"/>
      <c r="C810" s="35"/>
      <c r="L810" s="10"/>
      <c r="M810" s="10"/>
      <c r="N810" s="10"/>
    </row>
    <row r="811">
      <c r="A811" s="35"/>
      <c r="B811" s="35"/>
      <c r="C811" s="35"/>
      <c r="L811" s="10"/>
      <c r="M811" s="10"/>
      <c r="N811" s="10"/>
    </row>
    <row r="812">
      <c r="A812" s="35"/>
      <c r="B812" s="35"/>
      <c r="C812" s="35"/>
      <c r="L812" s="10"/>
      <c r="M812" s="10"/>
      <c r="N812" s="10"/>
    </row>
    <row r="813">
      <c r="A813" s="35"/>
      <c r="B813" s="35"/>
      <c r="C813" s="35"/>
      <c r="L813" s="10"/>
      <c r="M813" s="10"/>
      <c r="N813" s="10"/>
    </row>
    <row r="814">
      <c r="A814" s="35"/>
      <c r="B814" s="35"/>
      <c r="C814" s="35"/>
      <c r="L814" s="10"/>
      <c r="M814" s="10"/>
      <c r="N814" s="10"/>
    </row>
    <row r="815">
      <c r="A815" s="35"/>
      <c r="B815" s="35"/>
      <c r="C815" s="35"/>
      <c r="L815" s="10"/>
      <c r="M815" s="10"/>
      <c r="N815" s="10"/>
    </row>
    <row r="816">
      <c r="A816" s="35"/>
      <c r="B816" s="35"/>
      <c r="C816" s="35"/>
      <c r="L816" s="10"/>
      <c r="M816" s="10"/>
      <c r="N816" s="10"/>
    </row>
    <row r="817">
      <c r="A817" s="35"/>
      <c r="B817" s="35"/>
      <c r="C817" s="35"/>
      <c r="L817" s="10"/>
      <c r="M817" s="10"/>
      <c r="N817" s="10"/>
    </row>
    <row r="818">
      <c r="A818" s="35"/>
      <c r="B818" s="35"/>
      <c r="C818" s="35"/>
      <c r="L818" s="10"/>
      <c r="M818" s="10"/>
      <c r="N818" s="10"/>
    </row>
    <row r="819">
      <c r="A819" s="35"/>
      <c r="B819" s="35"/>
      <c r="C819" s="35"/>
      <c r="L819" s="10"/>
      <c r="M819" s="10"/>
      <c r="N819" s="10"/>
    </row>
    <row r="820">
      <c r="A820" s="35"/>
      <c r="B820" s="35"/>
      <c r="C820" s="35"/>
      <c r="L820" s="10"/>
      <c r="M820" s="10"/>
      <c r="N820" s="10"/>
    </row>
    <row r="821">
      <c r="A821" s="35"/>
      <c r="B821" s="35"/>
      <c r="C821" s="35"/>
      <c r="L821" s="10"/>
      <c r="M821" s="10"/>
      <c r="N821" s="10"/>
    </row>
    <row r="822">
      <c r="A822" s="35"/>
      <c r="B822" s="35"/>
      <c r="C822" s="35"/>
      <c r="L822" s="10"/>
      <c r="M822" s="10"/>
      <c r="N822" s="10"/>
    </row>
    <row r="823">
      <c r="A823" s="35"/>
      <c r="B823" s="35"/>
      <c r="C823" s="35"/>
      <c r="L823" s="10"/>
      <c r="M823" s="10"/>
      <c r="N823" s="10"/>
    </row>
    <row r="824">
      <c r="A824" s="35"/>
      <c r="B824" s="35"/>
      <c r="C824" s="35"/>
      <c r="L824" s="10"/>
      <c r="M824" s="10"/>
      <c r="N824" s="10"/>
    </row>
    <row r="825">
      <c r="A825" s="35"/>
      <c r="B825" s="35"/>
      <c r="C825" s="35"/>
      <c r="L825" s="10"/>
      <c r="M825" s="10"/>
      <c r="N825" s="10"/>
    </row>
    <row r="826">
      <c r="A826" s="35"/>
      <c r="B826" s="35"/>
      <c r="C826" s="35"/>
      <c r="L826" s="10"/>
      <c r="M826" s="10"/>
      <c r="N826" s="10"/>
    </row>
    <row r="827">
      <c r="A827" s="35"/>
      <c r="B827" s="35"/>
      <c r="C827" s="35"/>
      <c r="L827" s="10"/>
      <c r="M827" s="10"/>
      <c r="N827" s="10"/>
    </row>
    <row r="828">
      <c r="A828" s="35"/>
      <c r="B828" s="35"/>
      <c r="C828" s="35"/>
      <c r="L828" s="10"/>
      <c r="M828" s="10"/>
      <c r="N828" s="10"/>
    </row>
    <row r="829">
      <c r="A829" s="35"/>
      <c r="B829" s="35"/>
      <c r="C829" s="35"/>
      <c r="L829" s="10"/>
      <c r="M829" s="10"/>
      <c r="N829" s="10"/>
    </row>
    <row r="830">
      <c r="A830" s="35"/>
      <c r="B830" s="35"/>
      <c r="C830" s="35"/>
      <c r="L830" s="10"/>
      <c r="M830" s="10"/>
      <c r="N830" s="10"/>
    </row>
    <row r="831">
      <c r="A831" s="35"/>
      <c r="B831" s="35"/>
      <c r="C831" s="35"/>
      <c r="L831" s="10"/>
      <c r="M831" s="10"/>
      <c r="N831" s="10"/>
    </row>
    <row r="832">
      <c r="A832" s="35"/>
      <c r="B832" s="35"/>
      <c r="C832" s="35"/>
      <c r="L832" s="10"/>
      <c r="M832" s="10"/>
      <c r="N832" s="10"/>
    </row>
    <row r="833">
      <c r="A833" s="35"/>
      <c r="B833" s="35"/>
      <c r="C833" s="35"/>
      <c r="L833" s="10"/>
      <c r="M833" s="10"/>
      <c r="N833" s="10"/>
    </row>
    <row r="834">
      <c r="A834" s="35"/>
      <c r="B834" s="35"/>
      <c r="C834" s="35"/>
      <c r="L834" s="10"/>
      <c r="M834" s="10"/>
      <c r="N834" s="10"/>
    </row>
    <row r="835">
      <c r="A835" s="35"/>
      <c r="B835" s="35"/>
      <c r="C835" s="35"/>
      <c r="L835" s="10"/>
      <c r="M835" s="10"/>
      <c r="N835" s="10"/>
    </row>
    <row r="836">
      <c r="A836" s="35"/>
      <c r="B836" s="35"/>
      <c r="C836" s="35"/>
      <c r="L836" s="10"/>
      <c r="M836" s="10"/>
      <c r="N836" s="10"/>
    </row>
    <row r="837">
      <c r="A837" s="35"/>
      <c r="B837" s="35"/>
      <c r="C837" s="35"/>
      <c r="L837" s="10"/>
      <c r="M837" s="10"/>
      <c r="N837" s="10"/>
    </row>
    <row r="838">
      <c r="A838" s="35"/>
      <c r="B838" s="35"/>
      <c r="C838" s="35"/>
      <c r="L838" s="10"/>
      <c r="M838" s="10"/>
      <c r="N838" s="10"/>
    </row>
    <row r="839">
      <c r="A839" s="35"/>
      <c r="B839" s="35"/>
      <c r="C839" s="35"/>
      <c r="L839" s="10"/>
      <c r="M839" s="10"/>
      <c r="N839" s="10"/>
    </row>
    <row r="840">
      <c r="A840" s="35"/>
      <c r="B840" s="35"/>
      <c r="C840" s="35"/>
      <c r="L840" s="10"/>
      <c r="M840" s="10"/>
      <c r="N840" s="10"/>
    </row>
    <row r="841">
      <c r="A841" s="35"/>
      <c r="B841" s="35"/>
      <c r="C841" s="35"/>
      <c r="L841" s="10"/>
      <c r="M841" s="10"/>
      <c r="N841" s="10"/>
    </row>
    <row r="842">
      <c r="A842" s="35"/>
      <c r="B842" s="35"/>
      <c r="C842" s="35"/>
      <c r="L842" s="10"/>
      <c r="M842" s="10"/>
      <c r="N842" s="10"/>
    </row>
    <row r="843">
      <c r="A843" s="35"/>
      <c r="B843" s="35"/>
      <c r="C843" s="35"/>
      <c r="L843" s="10"/>
      <c r="M843" s="10"/>
      <c r="N843" s="10"/>
    </row>
    <row r="844">
      <c r="A844" s="35"/>
      <c r="B844" s="35"/>
      <c r="C844" s="35"/>
      <c r="L844" s="10"/>
      <c r="M844" s="10"/>
      <c r="N844" s="10"/>
    </row>
    <row r="845">
      <c r="A845" s="35"/>
      <c r="B845" s="35"/>
      <c r="C845" s="35"/>
      <c r="L845" s="10"/>
      <c r="M845" s="10"/>
      <c r="N845" s="10"/>
    </row>
    <row r="846">
      <c r="A846" s="35"/>
      <c r="B846" s="35"/>
      <c r="C846" s="35"/>
      <c r="L846" s="10"/>
      <c r="M846" s="10"/>
      <c r="N846" s="10"/>
    </row>
    <row r="847">
      <c r="A847" s="35"/>
      <c r="B847" s="35"/>
      <c r="C847" s="35"/>
      <c r="L847" s="10"/>
      <c r="M847" s="10"/>
      <c r="N847" s="10"/>
    </row>
    <row r="848">
      <c r="A848" s="35"/>
      <c r="B848" s="35"/>
      <c r="C848" s="35"/>
      <c r="L848" s="10"/>
      <c r="M848" s="10"/>
      <c r="N848" s="10"/>
    </row>
    <row r="849">
      <c r="A849" s="35"/>
      <c r="B849" s="35"/>
      <c r="C849" s="35"/>
      <c r="L849" s="10"/>
      <c r="M849" s="10"/>
      <c r="N849" s="10"/>
    </row>
    <row r="850">
      <c r="A850" s="35"/>
      <c r="B850" s="35"/>
      <c r="C850" s="35"/>
      <c r="L850" s="10"/>
      <c r="M850" s="10"/>
      <c r="N850" s="10"/>
    </row>
    <row r="851">
      <c r="A851" s="35"/>
      <c r="B851" s="35"/>
      <c r="C851" s="35"/>
      <c r="L851" s="10"/>
      <c r="M851" s="10"/>
      <c r="N851" s="10"/>
    </row>
    <row r="852">
      <c r="A852" s="35"/>
      <c r="B852" s="35"/>
      <c r="C852" s="35"/>
      <c r="L852" s="10"/>
      <c r="M852" s="10"/>
      <c r="N852" s="10"/>
    </row>
    <row r="853">
      <c r="A853" s="35"/>
      <c r="B853" s="35"/>
      <c r="C853" s="35"/>
      <c r="L853" s="10"/>
      <c r="M853" s="10"/>
      <c r="N853" s="10"/>
    </row>
    <row r="854">
      <c r="A854" s="35"/>
      <c r="B854" s="35"/>
      <c r="C854" s="35"/>
      <c r="L854" s="10"/>
      <c r="M854" s="10"/>
      <c r="N854" s="10"/>
    </row>
    <row r="855">
      <c r="A855" s="35"/>
      <c r="B855" s="35"/>
      <c r="C855" s="35"/>
      <c r="L855" s="10"/>
      <c r="M855" s="10"/>
      <c r="N855" s="10"/>
    </row>
    <row r="856">
      <c r="A856" s="35"/>
      <c r="B856" s="35"/>
      <c r="C856" s="35"/>
      <c r="L856" s="10"/>
      <c r="M856" s="10"/>
      <c r="N856" s="10"/>
    </row>
    <row r="857">
      <c r="A857" s="35"/>
      <c r="B857" s="35"/>
      <c r="C857" s="35"/>
      <c r="L857" s="10"/>
      <c r="M857" s="10"/>
      <c r="N857" s="10"/>
    </row>
    <row r="858">
      <c r="A858" s="35"/>
      <c r="B858" s="35"/>
      <c r="C858" s="35"/>
      <c r="L858" s="10"/>
      <c r="M858" s="10"/>
      <c r="N858" s="10"/>
    </row>
    <row r="859">
      <c r="A859" s="35"/>
      <c r="B859" s="35"/>
      <c r="C859" s="35"/>
      <c r="L859" s="10"/>
      <c r="M859" s="10"/>
      <c r="N859" s="10"/>
    </row>
    <row r="860">
      <c r="A860" s="35"/>
      <c r="B860" s="35"/>
      <c r="C860" s="35"/>
      <c r="L860" s="10"/>
      <c r="M860" s="10"/>
      <c r="N860" s="10"/>
    </row>
    <row r="861">
      <c r="A861" s="35"/>
      <c r="B861" s="35"/>
      <c r="C861" s="35"/>
      <c r="L861" s="10"/>
      <c r="M861" s="10"/>
      <c r="N861" s="10"/>
    </row>
    <row r="862">
      <c r="A862" s="35"/>
      <c r="B862" s="35"/>
      <c r="C862" s="35"/>
      <c r="L862" s="10"/>
      <c r="M862" s="10"/>
      <c r="N862" s="10"/>
    </row>
    <row r="863">
      <c r="A863" s="35"/>
      <c r="B863" s="35"/>
      <c r="C863" s="35"/>
      <c r="L863" s="10"/>
      <c r="M863" s="10"/>
      <c r="N863" s="10"/>
    </row>
    <row r="864">
      <c r="A864" s="35"/>
      <c r="B864" s="35"/>
      <c r="C864" s="35"/>
      <c r="L864" s="10"/>
      <c r="M864" s="10"/>
      <c r="N864" s="10"/>
    </row>
    <row r="865">
      <c r="A865" s="35"/>
      <c r="B865" s="35"/>
      <c r="C865" s="35"/>
      <c r="L865" s="10"/>
      <c r="M865" s="10"/>
      <c r="N865" s="10"/>
    </row>
    <row r="866">
      <c r="A866" s="35"/>
      <c r="B866" s="35"/>
      <c r="C866" s="35"/>
      <c r="L866" s="10"/>
      <c r="M866" s="10"/>
      <c r="N866" s="10"/>
    </row>
    <row r="867">
      <c r="A867" s="35"/>
      <c r="B867" s="35"/>
      <c r="C867" s="35"/>
      <c r="L867" s="10"/>
      <c r="M867" s="10"/>
      <c r="N867" s="10"/>
    </row>
    <row r="868">
      <c r="A868" s="35"/>
      <c r="B868" s="35"/>
      <c r="C868" s="35"/>
      <c r="L868" s="10"/>
      <c r="M868" s="10"/>
      <c r="N868" s="10"/>
    </row>
    <row r="869">
      <c r="A869" s="35"/>
      <c r="B869" s="35"/>
      <c r="C869" s="35"/>
      <c r="L869" s="10"/>
      <c r="M869" s="10"/>
      <c r="N869" s="10"/>
    </row>
    <row r="870">
      <c r="A870" s="35"/>
      <c r="B870" s="35"/>
      <c r="C870" s="35"/>
      <c r="L870" s="10"/>
      <c r="M870" s="10"/>
      <c r="N870" s="10"/>
    </row>
    <row r="871">
      <c r="A871" s="35"/>
      <c r="B871" s="35"/>
      <c r="C871" s="35"/>
      <c r="L871" s="10"/>
      <c r="M871" s="10"/>
      <c r="N871" s="10"/>
    </row>
    <row r="872">
      <c r="A872" s="35"/>
      <c r="B872" s="35"/>
      <c r="C872" s="35"/>
      <c r="L872" s="10"/>
      <c r="M872" s="10"/>
      <c r="N872" s="10"/>
    </row>
    <row r="873">
      <c r="A873" s="35"/>
      <c r="B873" s="35"/>
      <c r="C873" s="35"/>
      <c r="L873" s="10"/>
      <c r="M873" s="10"/>
      <c r="N873" s="10"/>
    </row>
    <row r="874">
      <c r="A874" s="35"/>
      <c r="B874" s="35"/>
      <c r="C874" s="35"/>
      <c r="L874" s="10"/>
      <c r="M874" s="10"/>
      <c r="N874" s="10"/>
    </row>
    <row r="875">
      <c r="A875" s="35"/>
      <c r="B875" s="35"/>
      <c r="C875" s="35"/>
      <c r="L875" s="10"/>
      <c r="M875" s="10"/>
      <c r="N875" s="10"/>
    </row>
    <row r="876">
      <c r="A876" s="35"/>
      <c r="B876" s="35"/>
      <c r="C876" s="35"/>
      <c r="L876" s="10"/>
      <c r="M876" s="10"/>
      <c r="N876" s="10"/>
    </row>
    <row r="877">
      <c r="A877" s="35"/>
      <c r="B877" s="35"/>
      <c r="C877" s="35"/>
      <c r="L877" s="10"/>
      <c r="M877" s="10"/>
      <c r="N877" s="10"/>
    </row>
    <row r="878">
      <c r="A878" s="35"/>
      <c r="B878" s="35"/>
      <c r="C878" s="35"/>
      <c r="L878" s="10"/>
      <c r="M878" s="10"/>
      <c r="N878" s="10"/>
    </row>
    <row r="879">
      <c r="A879" s="35"/>
      <c r="B879" s="35"/>
      <c r="C879" s="35"/>
      <c r="L879" s="10"/>
      <c r="M879" s="10"/>
      <c r="N879" s="10"/>
    </row>
    <row r="880">
      <c r="A880" s="35"/>
      <c r="B880" s="35"/>
      <c r="C880" s="35"/>
      <c r="L880" s="10"/>
      <c r="M880" s="10"/>
      <c r="N880" s="10"/>
    </row>
    <row r="881">
      <c r="A881" s="35"/>
      <c r="B881" s="35"/>
      <c r="C881" s="35"/>
      <c r="L881" s="10"/>
      <c r="M881" s="10"/>
      <c r="N881" s="10"/>
    </row>
    <row r="882">
      <c r="A882" s="35"/>
      <c r="B882" s="35"/>
      <c r="C882" s="35"/>
      <c r="L882" s="10"/>
      <c r="M882" s="10"/>
      <c r="N882" s="10"/>
    </row>
    <row r="883">
      <c r="A883" s="35"/>
      <c r="B883" s="35"/>
      <c r="C883" s="35"/>
      <c r="L883" s="10"/>
      <c r="M883" s="10"/>
      <c r="N883" s="10"/>
    </row>
    <row r="884">
      <c r="A884" s="35"/>
      <c r="B884" s="35"/>
      <c r="C884" s="35"/>
      <c r="L884" s="10"/>
      <c r="M884" s="10"/>
      <c r="N884" s="10"/>
    </row>
    <row r="885">
      <c r="A885" s="35"/>
      <c r="B885" s="35"/>
      <c r="C885" s="35"/>
      <c r="L885" s="10"/>
      <c r="M885" s="10"/>
      <c r="N885" s="10"/>
    </row>
    <row r="886">
      <c r="A886" s="35"/>
      <c r="B886" s="35"/>
      <c r="C886" s="35"/>
      <c r="L886" s="10"/>
      <c r="M886" s="10"/>
      <c r="N886" s="10"/>
    </row>
    <row r="887">
      <c r="A887" s="35"/>
      <c r="B887" s="35"/>
      <c r="C887" s="35"/>
      <c r="L887" s="10"/>
      <c r="M887" s="10"/>
      <c r="N887" s="10"/>
    </row>
    <row r="888">
      <c r="A888" s="35"/>
      <c r="B888" s="35"/>
      <c r="C888" s="35"/>
      <c r="L888" s="10"/>
      <c r="M888" s="10"/>
      <c r="N888" s="10"/>
    </row>
    <row r="889">
      <c r="A889" s="35"/>
      <c r="B889" s="35"/>
      <c r="C889" s="35"/>
      <c r="L889" s="10"/>
      <c r="M889" s="10"/>
      <c r="N889" s="10"/>
    </row>
    <row r="890">
      <c r="A890" s="35"/>
      <c r="B890" s="35"/>
      <c r="C890" s="35"/>
      <c r="L890" s="10"/>
      <c r="M890" s="10"/>
      <c r="N890" s="10"/>
    </row>
    <row r="891">
      <c r="A891" s="35"/>
      <c r="B891" s="35"/>
      <c r="C891" s="35"/>
      <c r="L891" s="10"/>
      <c r="M891" s="10"/>
      <c r="N891" s="10"/>
    </row>
    <row r="892">
      <c r="A892" s="35"/>
      <c r="B892" s="35"/>
      <c r="C892" s="35"/>
      <c r="L892" s="10"/>
      <c r="M892" s="10"/>
      <c r="N892" s="10"/>
    </row>
    <row r="893">
      <c r="A893" s="35"/>
      <c r="B893" s="35"/>
      <c r="C893" s="35"/>
      <c r="L893" s="10"/>
      <c r="M893" s="10"/>
      <c r="N893" s="10"/>
    </row>
    <row r="894">
      <c r="A894" s="35"/>
      <c r="B894" s="35"/>
      <c r="C894" s="35"/>
      <c r="L894" s="10"/>
      <c r="M894" s="10"/>
      <c r="N894" s="10"/>
    </row>
    <row r="895">
      <c r="A895" s="35"/>
      <c r="B895" s="35"/>
      <c r="C895" s="35"/>
      <c r="L895" s="10"/>
      <c r="M895" s="10"/>
      <c r="N895" s="10"/>
    </row>
    <row r="896">
      <c r="A896" s="35"/>
      <c r="B896" s="35"/>
      <c r="C896" s="35"/>
      <c r="L896" s="10"/>
      <c r="M896" s="10"/>
      <c r="N896" s="10"/>
    </row>
    <row r="897">
      <c r="A897" s="35"/>
      <c r="B897" s="35"/>
      <c r="C897" s="35"/>
      <c r="L897" s="10"/>
      <c r="M897" s="10"/>
      <c r="N897" s="10"/>
    </row>
    <row r="898">
      <c r="A898" s="35"/>
      <c r="B898" s="35"/>
      <c r="C898" s="35"/>
      <c r="L898" s="10"/>
      <c r="M898" s="10"/>
      <c r="N898" s="10"/>
    </row>
    <row r="899">
      <c r="A899" s="35"/>
      <c r="B899" s="35"/>
      <c r="C899" s="35"/>
      <c r="L899" s="10"/>
      <c r="M899" s="10"/>
      <c r="N899" s="10"/>
    </row>
    <row r="900">
      <c r="A900" s="35"/>
      <c r="B900" s="35"/>
      <c r="C900" s="35"/>
      <c r="L900" s="10"/>
      <c r="M900" s="10"/>
      <c r="N900" s="10"/>
    </row>
    <row r="901">
      <c r="A901" s="35"/>
      <c r="B901" s="35"/>
      <c r="C901" s="35"/>
      <c r="L901" s="10"/>
      <c r="M901" s="10"/>
      <c r="N901" s="10"/>
    </row>
    <row r="902">
      <c r="A902" s="35"/>
      <c r="B902" s="35"/>
      <c r="C902" s="35"/>
      <c r="L902" s="10"/>
      <c r="M902" s="10"/>
      <c r="N902" s="10"/>
    </row>
    <row r="903">
      <c r="A903" s="35"/>
      <c r="B903" s="35"/>
      <c r="C903" s="35"/>
      <c r="L903" s="10"/>
      <c r="M903" s="10"/>
      <c r="N903" s="10"/>
    </row>
    <row r="904">
      <c r="A904" s="35"/>
      <c r="B904" s="35"/>
      <c r="C904" s="35"/>
      <c r="L904" s="10"/>
      <c r="M904" s="10"/>
      <c r="N904" s="10"/>
    </row>
    <row r="905">
      <c r="A905" s="35"/>
      <c r="B905" s="35"/>
      <c r="C905" s="35"/>
      <c r="L905" s="10"/>
      <c r="M905" s="10"/>
      <c r="N905" s="10"/>
    </row>
    <row r="906">
      <c r="A906" s="35"/>
      <c r="B906" s="35"/>
      <c r="C906" s="35"/>
      <c r="L906" s="10"/>
      <c r="M906" s="10"/>
      <c r="N906" s="10"/>
    </row>
    <row r="907">
      <c r="A907" s="35"/>
      <c r="B907" s="35"/>
      <c r="C907" s="35"/>
      <c r="L907" s="10"/>
      <c r="M907" s="10"/>
      <c r="N907" s="10"/>
    </row>
    <row r="908">
      <c r="A908" s="35"/>
      <c r="B908" s="35"/>
      <c r="C908" s="35"/>
      <c r="L908" s="10"/>
      <c r="M908" s="10"/>
      <c r="N908" s="10"/>
    </row>
    <row r="909">
      <c r="A909" s="35"/>
      <c r="B909" s="35"/>
      <c r="C909" s="35"/>
      <c r="L909" s="10"/>
      <c r="M909" s="10"/>
      <c r="N909" s="10"/>
    </row>
    <row r="910">
      <c r="A910" s="35"/>
      <c r="B910" s="35"/>
      <c r="C910" s="35"/>
      <c r="L910" s="10"/>
      <c r="M910" s="10"/>
      <c r="N910" s="10"/>
    </row>
    <row r="911">
      <c r="A911" s="35"/>
      <c r="B911" s="35"/>
      <c r="C911" s="35"/>
      <c r="L911" s="10"/>
      <c r="M911" s="10"/>
      <c r="N911" s="10"/>
    </row>
    <row r="912">
      <c r="A912" s="35"/>
      <c r="B912" s="35"/>
      <c r="C912" s="35"/>
      <c r="L912" s="10"/>
      <c r="M912" s="10"/>
      <c r="N912" s="10"/>
    </row>
    <row r="913">
      <c r="A913" s="35"/>
      <c r="B913" s="35"/>
      <c r="C913" s="35"/>
      <c r="L913" s="10"/>
      <c r="M913" s="10"/>
      <c r="N913" s="10"/>
    </row>
    <row r="914">
      <c r="A914" s="35"/>
      <c r="B914" s="35"/>
      <c r="C914" s="35"/>
      <c r="L914" s="10"/>
      <c r="M914" s="10"/>
      <c r="N914" s="10"/>
    </row>
    <row r="915">
      <c r="A915" s="35"/>
      <c r="B915" s="35"/>
      <c r="C915" s="35"/>
      <c r="L915" s="10"/>
      <c r="M915" s="10"/>
      <c r="N915" s="10"/>
    </row>
    <row r="916">
      <c r="A916" s="35"/>
      <c r="B916" s="35"/>
      <c r="C916" s="35"/>
      <c r="L916" s="10"/>
      <c r="M916" s="10"/>
      <c r="N916" s="10"/>
    </row>
    <row r="917">
      <c r="A917" s="35"/>
      <c r="B917" s="35"/>
      <c r="C917" s="35"/>
      <c r="L917" s="10"/>
      <c r="M917" s="10"/>
      <c r="N917" s="10"/>
    </row>
    <row r="918">
      <c r="A918" s="35"/>
      <c r="B918" s="35"/>
      <c r="C918" s="35"/>
      <c r="L918" s="10"/>
      <c r="M918" s="10"/>
      <c r="N918" s="10"/>
    </row>
    <row r="919">
      <c r="A919" s="35"/>
      <c r="B919" s="35"/>
      <c r="C919" s="35"/>
      <c r="L919" s="10"/>
      <c r="M919" s="10"/>
      <c r="N919" s="10"/>
    </row>
    <row r="920">
      <c r="A920" s="35"/>
      <c r="B920" s="35"/>
      <c r="C920" s="35"/>
      <c r="L920" s="10"/>
      <c r="M920" s="10"/>
      <c r="N920" s="10"/>
    </row>
    <row r="921">
      <c r="A921" s="35"/>
      <c r="B921" s="35"/>
      <c r="C921" s="35"/>
      <c r="L921" s="10"/>
      <c r="M921" s="10"/>
      <c r="N921" s="10"/>
    </row>
    <row r="922">
      <c r="A922" s="35"/>
      <c r="B922" s="35"/>
      <c r="C922" s="35"/>
      <c r="L922" s="10"/>
      <c r="M922" s="10"/>
      <c r="N922" s="10"/>
    </row>
    <row r="923">
      <c r="A923" s="35"/>
      <c r="B923" s="35"/>
      <c r="C923" s="35"/>
      <c r="L923" s="10"/>
      <c r="M923" s="10"/>
      <c r="N923" s="10"/>
    </row>
    <row r="924">
      <c r="A924" s="35"/>
      <c r="B924" s="35"/>
      <c r="C924" s="35"/>
      <c r="L924" s="10"/>
      <c r="M924" s="10"/>
      <c r="N924" s="10"/>
    </row>
    <row r="925">
      <c r="A925" s="35"/>
      <c r="B925" s="35"/>
      <c r="C925" s="35"/>
      <c r="L925" s="10"/>
      <c r="M925" s="10"/>
      <c r="N925" s="10"/>
    </row>
    <row r="926">
      <c r="A926" s="35"/>
      <c r="B926" s="35"/>
      <c r="C926" s="35"/>
      <c r="L926" s="10"/>
      <c r="M926" s="10"/>
      <c r="N926" s="10"/>
    </row>
    <row r="927">
      <c r="A927" s="35"/>
      <c r="B927" s="35"/>
      <c r="C927" s="35"/>
      <c r="L927" s="10"/>
      <c r="M927" s="10"/>
      <c r="N927" s="10"/>
    </row>
    <row r="928">
      <c r="A928" s="35"/>
      <c r="B928" s="35"/>
      <c r="C928" s="35"/>
      <c r="L928" s="10"/>
      <c r="M928" s="10"/>
      <c r="N928" s="10"/>
    </row>
    <row r="929">
      <c r="A929" s="35"/>
      <c r="B929" s="35"/>
      <c r="C929" s="35"/>
      <c r="L929" s="10"/>
      <c r="M929" s="10"/>
      <c r="N929" s="10"/>
    </row>
    <row r="930">
      <c r="A930" s="35"/>
      <c r="B930" s="35"/>
      <c r="C930" s="35"/>
      <c r="L930" s="10"/>
      <c r="M930" s="10"/>
      <c r="N930" s="10"/>
    </row>
    <row r="931">
      <c r="A931" s="35"/>
      <c r="B931" s="35"/>
      <c r="C931" s="35"/>
      <c r="L931" s="10"/>
      <c r="M931" s="10"/>
      <c r="N931" s="10"/>
    </row>
    <row r="932">
      <c r="A932" s="35"/>
      <c r="B932" s="35"/>
      <c r="C932" s="35"/>
      <c r="L932" s="10"/>
      <c r="M932" s="10"/>
      <c r="N932" s="10"/>
    </row>
    <row r="933">
      <c r="A933" s="35"/>
      <c r="B933" s="35"/>
      <c r="C933" s="35"/>
      <c r="L933" s="10"/>
      <c r="M933" s="10"/>
      <c r="N933" s="10"/>
    </row>
    <row r="934">
      <c r="A934" s="35"/>
      <c r="B934" s="35"/>
      <c r="C934" s="35"/>
      <c r="L934" s="10"/>
      <c r="M934" s="10"/>
      <c r="N934" s="10"/>
    </row>
    <row r="935">
      <c r="A935" s="35"/>
      <c r="B935" s="35"/>
      <c r="C935" s="35"/>
      <c r="L935" s="10"/>
      <c r="M935" s="10"/>
      <c r="N935" s="10"/>
    </row>
    <row r="936">
      <c r="A936" s="35"/>
      <c r="B936" s="35"/>
      <c r="C936" s="35"/>
      <c r="L936" s="10"/>
      <c r="M936" s="10"/>
      <c r="N936" s="10"/>
    </row>
    <row r="937">
      <c r="A937" s="35"/>
      <c r="B937" s="35"/>
      <c r="C937" s="35"/>
      <c r="L937" s="10"/>
      <c r="M937" s="10"/>
      <c r="N937" s="10"/>
    </row>
    <row r="938">
      <c r="A938" s="35"/>
      <c r="B938" s="35"/>
      <c r="C938" s="35"/>
      <c r="L938" s="10"/>
      <c r="M938" s="10"/>
      <c r="N938" s="10"/>
    </row>
    <row r="939">
      <c r="A939" s="35"/>
      <c r="B939" s="35"/>
      <c r="C939" s="35"/>
      <c r="L939" s="10"/>
      <c r="M939" s="10"/>
      <c r="N939" s="10"/>
    </row>
    <row r="940">
      <c r="A940" s="35"/>
      <c r="B940" s="35"/>
      <c r="C940" s="35"/>
      <c r="L940" s="10"/>
      <c r="M940" s="10"/>
      <c r="N940" s="10"/>
    </row>
    <row r="941">
      <c r="A941" s="35"/>
      <c r="B941" s="35"/>
      <c r="C941" s="35"/>
      <c r="L941" s="10"/>
      <c r="M941" s="10"/>
      <c r="N941" s="10"/>
    </row>
    <row r="942">
      <c r="A942" s="35"/>
      <c r="B942" s="35"/>
      <c r="C942" s="35"/>
      <c r="L942" s="10"/>
      <c r="M942" s="10"/>
      <c r="N942" s="10"/>
    </row>
    <row r="943">
      <c r="A943" s="35"/>
      <c r="B943" s="35"/>
      <c r="C943" s="35"/>
      <c r="L943" s="10"/>
      <c r="M943" s="10"/>
      <c r="N943" s="10"/>
    </row>
    <row r="944">
      <c r="A944" s="35"/>
      <c r="B944" s="35"/>
      <c r="C944" s="35"/>
      <c r="L944" s="10"/>
      <c r="M944" s="10"/>
      <c r="N944" s="10"/>
    </row>
    <row r="945">
      <c r="A945" s="35"/>
      <c r="B945" s="35"/>
      <c r="C945" s="35"/>
      <c r="L945" s="10"/>
      <c r="M945" s="10"/>
      <c r="N945" s="10"/>
    </row>
    <row r="946">
      <c r="A946" s="35"/>
      <c r="B946" s="35"/>
      <c r="C946" s="35"/>
      <c r="L946" s="10"/>
      <c r="M946" s="10"/>
      <c r="N946" s="10"/>
    </row>
    <row r="947">
      <c r="A947" s="35"/>
      <c r="B947" s="35"/>
      <c r="C947" s="35"/>
      <c r="L947" s="10"/>
      <c r="M947" s="10"/>
      <c r="N947" s="10"/>
    </row>
    <row r="948">
      <c r="A948" s="35"/>
      <c r="B948" s="35"/>
      <c r="C948" s="35"/>
      <c r="L948" s="10"/>
      <c r="M948" s="10"/>
      <c r="N948" s="10"/>
    </row>
    <row r="949">
      <c r="A949" s="35"/>
      <c r="B949" s="35"/>
      <c r="C949" s="35"/>
      <c r="L949" s="10"/>
      <c r="M949" s="10"/>
      <c r="N949" s="10"/>
    </row>
    <row r="950">
      <c r="A950" s="35"/>
      <c r="B950" s="35"/>
      <c r="C950" s="35"/>
      <c r="L950" s="10"/>
      <c r="M950" s="10"/>
      <c r="N950" s="10"/>
    </row>
    <row r="951">
      <c r="A951" s="35"/>
      <c r="B951" s="35"/>
      <c r="C951" s="35"/>
      <c r="L951" s="10"/>
      <c r="M951" s="10"/>
      <c r="N951" s="10"/>
    </row>
    <row r="952">
      <c r="A952" s="35"/>
      <c r="B952" s="35"/>
      <c r="C952" s="35"/>
      <c r="L952" s="10"/>
      <c r="M952" s="10"/>
      <c r="N952" s="10"/>
    </row>
    <row r="953">
      <c r="A953" s="35"/>
      <c r="B953" s="35"/>
      <c r="C953" s="35"/>
      <c r="L953" s="10"/>
      <c r="M953" s="10"/>
      <c r="N953" s="10"/>
    </row>
    <row r="954">
      <c r="A954" s="35"/>
      <c r="B954" s="35"/>
      <c r="C954" s="35"/>
      <c r="L954" s="10"/>
      <c r="M954" s="10"/>
      <c r="N954" s="10"/>
    </row>
    <row r="955">
      <c r="A955" s="35"/>
      <c r="B955" s="35"/>
      <c r="C955" s="35"/>
      <c r="L955" s="10"/>
      <c r="M955" s="10"/>
      <c r="N955" s="10"/>
    </row>
    <row r="956">
      <c r="A956" s="35"/>
      <c r="B956" s="35"/>
      <c r="C956" s="35"/>
      <c r="L956" s="10"/>
      <c r="M956" s="10"/>
      <c r="N956" s="10"/>
    </row>
    <row r="957">
      <c r="A957" s="35"/>
      <c r="B957" s="35"/>
      <c r="C957" s="35"/>
      <c r="L957" s="10"/>
      <c r="M957" s="10"/>
      <c r="N957" s="10"/>
    </row>
    <row r="958">
      <c r="A958" s="35"/>
      <c r="B958" s="35"/>
      <c r="C958" s="35"/>
      <c r="L958" s="10"/>
      <c r="M958" s="10"/>
      <c r="N958" s="10"/>
    </row>
    <row r="959">
      <c r="A959" s="35"/>
      <c r="B959" s="35"/>
      <c r="C959" s="35"/>
      <c r="L959" s="10"/>
      <c r="M959" s="10"/>
      <c r="N959" s="10"/>
    </row>
    <row r="960">
      <c r="A960" s="35"/>
      <c r="B960" s="35"/>
      <c r="C960" s="35"/>
      <c r="L960" s="10"/>
      <c r="M960" s="10"/>
      <c r="N960" s="10"/>
    </row>
    <row r="961">
      <c r="A961" s="35"/>
      <c r="B961" s="35"/>
      <c r="C961" s="35"/>
      <c r="L961" s="10"/>
      <c r="M961" s="10"/>
      <c r="N961" s="10"/>
    </row>
    <row r="962">
      <c r="A962" s="35"/>
      <c r="B962" s="35"/>
      <c r="C962" s="35"/>
      <c r="L962" s="10"/>
      <c r="M962" s="10"/>
      <c r="N962" s="10"/>
    </row>
    <row r="963">
      <c r="A963" s="35"/>
      <c r="B963" s="35"/>
      <c r="C963" s="35"/>
      <c r="L963" s="10"/>
      <c r="M963" s="10"/>
      <c r="N963" s="10"/>
    </row>
    <row r="964">
      <c r="A964" s="35"/>
      <c r="B964" s="35"/>
      <c r="C964" s="35"/>
      <c r="L964" s="10"/>
      <c r="M964" s="10"/>
      <c r="N964" s="10"/>
    </row>
    <row r="965">
      <c r="A965" s="35"/>
      <c r="B965" s="35"/>
      <c r="C965" s="35"/>
      <c r="L965" s="10"/>
      <c r="M965" s="10"/>
      <c r="N965" s="10"/>
    </row>
    <row r="966">
      <c r="A966" s="35"/>
      <c r="B966" s="35"/>
      <c r="C966" s="35"/>
      <c r="L966" s="10"/>
      <c r="M966" s="10"/>
      <c r="N966" s="10"/>
    </row>
    <row r="967">
      <c r="A967" s="35"/>
      <c r="B967" s="35"/>
      <c r="C967" s="35"/>
      <c r="L967" s="10"/>
      <c r="M967" s="10"/>
      <c r="N967" s="10"/>
    </row>
    <row r="968">
      <c r="A968" s="35"/>
      <c r="B968" s="35"/>
      <c r="C968" s="35"/>
      <c r="L968" s="10"/>
      <c r="M968" s="10"/>
      <c r="N968" s="10"/>
    </row>
    <row r="969">
      <c r="A969" s="35"/>
      <c r="B969" s="35"/>
      <c r="C969" s="35"/>
      <c r="L969" s="10"/>
      <c r="M969" s="10"/>
      <c r="N969" s="10"/>
    </row>
    <row r="970">
      <c r="A970" s="35"/>
      <c r="B970" s="35"/>
      <c r="C970" s="35"/>
      <c r="L970" s="10"/>
      <c r="M970" s="10"/>
      <c r="N970" s="10"/>
    </row>
    <row r="971">
      <c r="A971" s="35"/>
      <c r="B971" s="35"/>
      <c r="C971" s="35"/>
      <c r="L971" s="10"/>
      <c r="M971" s="10"/>
      <c r="N971" s="10"/>
    </row>
    <row r="972">
      <c r="A972" s="35"/>
      <c r="B972" s="35"/>
      <c r="C972" s="35"/>
      <c r="L972" s="10"/>
      <c r="M972" s="10"/>
      <c r="N972" s="10"/>
    </row>
    <row r="973">
      <c r="A973" s="35"/>
      <c r="B973" s="35"/>
      <c r="C973" s="35"/>
      <c r="L973" s="10"/>
      <c r="M973" s="10"/>
      <c r="N973" s="10"/>
    </row>
    <row r="974">
      <c r="A974" s="35"/>
      <c r="B974" s="35"/>
      <c r="C974" s="35"/>
      <c r="L974" s="10"/>
      <c r="M974" s="10"/>
      <c r="N974" s="10"/>
    </row>
    <row r="975">
      <c r="A975" s="35"/>
      <c r="B975" s="35"/>
      <c r="C975" s="35"/>
      <c r="L975" s="10"/>
      <c r="M975" s="10"/>
      <c r="N975" s="10"/>
    </row>
    <row r="976">
      <c r="A976" s="35"/>
      <c r="B976" s="35"/>
      <c r="C976" s="35"/>
      <c r="L976" s="10"/>
      <c r="M976" s="10"/>
      <c r="N976" s="10"/>
    </row>
    <row r="977">
      <c r="A977" s="35"/>
      <c r="B977" s="35"/>
      <c r="C977" s="35"/>
      <c r="L977" s="10"/>
      <c r="M977" s="10"/>
      <c r="N977" s="10"/>
    </row>
    <row r="978">
      <c r="A978" s="35"/>
      <c r="B978" s="35"/>
      <c r="C978" s="35"/>
      <c r="L978" s="10"/>
      <c r="M978" s="10"/>
      <c r="N978" s="10"/>
    </row>
    <row r="979">
      <c r="A979" s="35"/>
      <c r="B979" s="35"/>
      <c r="C979" s="35"/>
      <c r="L979" s="10"/>
      <c r="M979" s="10"/>
      <c r="N979" s="10"/>
    </row>
    <row r="980">
      <c r="A980" s="35"/>
      <c r="B980" s="35"/>
      <c r="C980" s="35"/>
      <c r="L980" s="10"/>
      <c r="M980" s="10"/>
      <c r="N980" s="10"/>
    </row>
    <row r="981">
      <c r="A981" s="35"/>
      <c r="B981" s="35"/>
      <c r="C981" s="35"/>
      <c r="L981" s="10"/>
      <c r="M981" s="10"/>
      <c r="N981" s="10"/>
    </row>
    <row r="982">
      <c r="A982" s="35"/>
      <c r="B982" s="35"/>
      <c r="C982" s="35"/>
      <c r="L982" s="10"/>
      <c r="M982" s="10"/>
      <c r="N982" s="10"/>
    </row>
    <row r="983">
      <c r="A983" s="35"/>
      <c r="B983" s="35"/>
      <c r="C983" s="35"/>
      <c r="L983" s="10"/>
      <c r="M983" s="10"/>
      <c r="N983" s="10"/>
    </row>
    <row r="984">
      <c r="A984" s="35"/>
      <c r="B984" s="35"/>
      <c r="C984" s="35"/>
      <c r="L984" s="10"/>
      <c r="M984" s="10"/>
      <c r="N984" s="10"/>
    </row>
    <row r="985">
      <c r="A985" s="35"/>
      <c r="B985" s="35"/>
      <c r="C985" s="35"/>
      <c r="L985" s="10"/>
      <c r="M985" s="10"/>
      <c r="N985" s="10"/>
    </row>
    <row r="986">
      <c r="A986" s="35"/>
      <c r="B986" s="35"/>
      <c r="C986" s="35"/>
      <c r="L986" s="10"/>
      <c r="M986" s="10"/>
      <c r="N986" s="10"/>
    </row>
    <row r="987">
      <c r="A987" s="35"/>
      <c r="B987" s="35"/>
      <c r="C987" s="35"/>
      <c r="L987" s="10"/>
      <c r="M987" s="10"/>
      <c r="N987" s="10"/>
    </row>
    <row r="988">
      <c r="A988" s="35"/>
      <c r="B988" s="35"/>
      <c r="C988" s="35"/>
      <c r="L988" s="10"/>
      <c r="M988" s="10"/>
      <c r="N988" s="10"/>
    </row>
    <row r="989">
      <c r="A989" s="35"/>
      <c r="B989" s="35"/>
      <c r="C989" s="35"/>
      <c r="L989" s="10"/>
      <c r="M989" s="10"/>
      <c r="N989" s="10"/>
    </row>
    <row r="990">
      <c r="A990" s="35"/>
      <c r="B990" s="35"/>
      <c r="C990" s="35"/>
      <c r="L990" s="10"/>
      <c r="M990" s="10"/>
      <c r="N990" s="10"/>
    </row>
    <row r="991">
      <c r="A991" s="35"/>
      <c r="B991" s="35"/>
      <c r="C991" s="35"/>
      <c r="L991" s="10"/>
      <c r="M991" s="10"/>
      <c r="N991" s="10"/>
    </row>
    <row r="992">
      <c r="A992" s="35"/>
      <c r="B992" s="35"/>
      <c r="C992" s="35"/>
      <c r="L992" s="10"/>
      <c r="M992" s="10"/>
      <c r="N992" s="10"/>
    </row>
    <row r="993">
      <c r="A993" s="35"/>
      <c r="B993" s="35"/>
      <c r="C993" s="35"/>
      <c r="L993" s="10"/>
      <c r="M993" s="10"/>
      <c r="N993" s="10"/>
    </row>
    <row r="994">
      <c r="A994" s="35"/>
      <c r="B994" s="35"/>
      <c r="C994" s="35"/>
      <c r="L994" s="10"/>
      <c r="M994" s="10"/>
      <c r="N994" s="10"/>
    </row>
    <row r="995">
      <c r="A995" s="35"/>
      <c r="B995" s="35"/>
      <c r="C995" s="35"/>
      <c r="L995" s="10"/>
      <c r="M995" s="10"/>
      <c r="N995" s="10"/>
    </row>
    <row r="996">
      <c r="A996" s="35"/>
      <c r="B996" s="35"/>
      <c r="C996" s="35"/>
      <c r="L996" s="10"/>
      <c r="M996" s="10"/>
      <c r="N996" s="10"/>
    </row>
    <row r="997">
      <c r="A997" s="35"/>
      <c r="B997" s="35"/>
      <c r="C997" s="35"/>
      <c r="L997" s="10"/>
      <c r="M997" s="10"/>
      <c r="N997" s="10"/>
    </row>
    <row r="998">
      <c r="A998" s="35"/>
      <c r="B998" s="35"/>
      <c r="C998" s="35"/>
      <c r="L998" s="10"/>
      <c r="M998" s="10"/>
      <c r="N998" s="10"/>
    </row>
    <row r="999">
      <c r="A999" s="35"/>
      <c r="B999" s="35"/>
      <c r="C999" s="35"/>
      <c r="L999" s="10"/>
      <c r="M999" s="10"/>
      <c r="N999" s="10"/>
    </row>
    <row r="1000">
      <c r="A1000" s="35"/>
      <c r="B1000" s="35"/>
      <c r="C1000" s="35"/>
      <c r="L1000" s="10"/>
      <c r="M1000" s="10"/>
      <c r="N1000" s="10"/>
    </row>
    <row r="1001">
      <c r="A1001" s="35"/>
      <c r="B1001" s="35"/>
      <c r="C1001" s="35"/>
      <c r="L1001" s="10"/>
      <c r="M1001" s="10"/>
      <c r="N1001" s="10"/>
    </row>
    <row r="1002">
      <c r="A1002" s="35"/>
      <c r="B1002" s="35"/>
      <c r="C1002" s="35"/>
      <c r="L1002" s="10"/>
      <c r="M1002" s="10"/>
      <c r="N1002" s="10"/>
    </row>
    <row r="1003">
      <c r="A1003" s="35"/>
      <c r="B1003" s="35"/>
      <c r="C1003" s="35"/>
      <c r="L1003" s="10"/>
      <c r="M1003" s="10"/>
      <c r="N1003" s="10"/>
    </row>
    <row r="1004">
      <c r="A1004" s="35"/>
      <c r="B1004" s="35"/>
      <c r="C1004" s="35"/>
      <c r="L1004" s="10"/>
      <c r="M1004" s="10"/>
      <c r="N1004" s="10"/>
    </row>
  </sheetData>
  <drawing r:id="rId1"/>
</worksheet>
</file>