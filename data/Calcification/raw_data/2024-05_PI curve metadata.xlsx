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<sst xmlns="http://schemas.openxmlformats.org/spreadsheetml/2006/main" count="112" uniqueCount="36">
  <si>
    <t>Date</t>
  </si>
  <si>
    <t>Project</t>
  </si>
  <si>
    <t>Colony ID</t>
  </si>
  <si>
    <t>Run #</t>
  </si>
  <si>
    <t>Chamber well #</t>
  </si>
  <si>
    <t>Notes</t>
  </si>
  <si>
    <t>Run1</t>
  </si>
  <si>
    <t>CAREER - Phys</t>
  </si>
  <si>
    <t>Light level (%)</t>
  </si>
  <si>
    <t>Time started</t>
  </si>
  <si>
    <t>Duration (min)</t>
  </si>
  <si>
    <t>time on laptop matches this time</t>
  </si>
  <si>
    <t>blank</t>
  </si>
  <si>
    <t>mostly negative, but less negative than dark</t>
  </si>
  <si>
    <t>HOBO</t>
  </si>
  <si>
    <t>Run2</t>
  </si>
  <si>
    <t>channel</t>
  </si>
  <si>
    <t>change umol</t>
  </si>
  <si>
    <t>time min</t>
  </si>
  <si>
    <t>rate at 5%</t>
  </si>
  <si>
    <t>rate at 0%</t>
  </si>
  <si>
    <t>5%-0%</t>
  </si>
  <si>
    <t>dark / 5%</t>
  </si>
  <si>
    <t>conclusion</t>
  </si>
  <si>
    <t>no net P, but yes some gross P</t>
  </si>
  <si>
    <t>dark respiration rate ~2-10x more than at 5% =&gt; yes photosynthesis is happening</t>
  </si>
  <si>
    <t xml:space="preserve">ch 8 funky/jumpy - bubble i thnk and maybe fixed </t>
  </si>
  <si>
    <t>Run3</t>
  </si>
  <si>
    <t>channel 8 had a bubble form during this level - fixed at start of 60%</t>
  </si>
  <si>
    <t xml:space="preserve">channel 8 still looks slightly wobbly but no bubbles that we can see, going up still </t>
  </si>
  <si>
    <t>channel 8 still odd, even started to go up! going back down</t>
  </si>
  <si>
    <t>Run4</t>
  </si>
  <si>
    <t>slopes look great</t>
  </si>
  <si>
    <t>channel 1 suddenly had a random spike to 450 umol/L. Almost instantly went back down. Back to normal, curve now looks not perfect, can we remove the 450 umol/L spike?</t>
  </si>
  <si>
    <t>Run5</t>
  </si>
  <si>
    <t xml:space="preserve">curves look lovely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</si>
</sst>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5">
    <font>
      <sz val="10.0"/>
      <color rgb="FF000000"/>
      <name val="Arial"/>
      <scheme val="minor"/>
    </font>
    <font>
      <b/>
      <color theme="1"/>
      <name val="Arial"/>
    </font>
    <font>
      <b/>
      <color theme="1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1"/>
    </xf>
    <xf borderId="0" fillId="0" fontId="2" numFmtId="0" xfId="0" applyAlignment="1" applyFont="1">
      <alignment readingOrder="0"/>
    </xf>
    <xf borderId="0" fillId="0" fontId="3" numFmtId="164" xfId="0" applyAlignment="1" applyFont="1" applyNumberFormat="1">
      <alignment horizontal="right" readingOrder="0" vertical="bottom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readingOrder="0"/>
    </xf>
    <xf borderId="0" fillId="0" fontId="4" numFmtId="20" xfId="0" applyAlignment="1" applyFont="1" applyNumberFormat="1">
      <alignment readingOrder="0"/>
    </xf>
    <xf borderId="1" fillId="0" fontId="3" numFmtId="164" xfId="0" applyAlignment="1" applyBorder="1" applyFont="1" applyNumberFormat="1">
      <alignment horizontal="right" readingOrder="0" vertical="bottom"/>
    </xf>
    <xf borderId="1" fillId="0" fontId="3" numFmtId="0" xfId="0" applyAlignment="1" applyBorder="1" applyFont="1">
      <alignment readingOrder="0" vertical="bottom"/>
    </xf>
    <xf borderId="1" fillId="0" fontId="3" numFmtId="0" xfId="0" applyAlignment="1" applyBorder="1" applyFont="1">
      <alignment horizontal="right" vertical="bottom"/>
    </xf>
    <xf borderId="1" fillId="0" fontId="4" numFmtId="0" xfId="0" applyBorder="1" applyFont="1"/>
    <xf borderId="0" fillId="0" fontId="3" numFmtId="0" xfId="0" applyAlignment="1" applyFont="1">
      <alignment horizontal="right" readingOrder="0" vertical="bottom"/>
    </xf>
    <xf borderId="0" fillId="0" fontId="4" numFmtId="0" xfId="0" applyFont="1"/>
    <xf borderId="1" fillId="0" fontId="4" numFmtId="0" xfId="0" applyAlignment="1" applyBorder="1" applyFont="1">
      <alignment readingOrder="0"/>
    </xf>
    <xf borderId="1" fillId="0" fontId="3" numFmtId="0" xfId="0" applyAlignment="1" applyBorder="1" applyFont="1">
      <alignment horizontal="right" readingOrder="0" vertical="bottom"/>
    </xf>
    <xf borderId="0" fillId="0" fontId="4" numFmtId="164" xfId="0" applyAlignment="1" applyFont="1" applyNumberFormat="1">
      <alignment readingOrder="0"/>
    </xf>
    <xf borderId="1" fillId="0" fontId="4" numFmtId="164" xfId="0" applyAlignment="1" applyBorder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0.63"/>
    <col customWidth="1" min="2" max="2" width="13.5"/>
    <col customWidth="1" min="3" max="3" width="10.13"/>
    <col customWidth="1" min="4" max="4" width="6.75"/>
    <col customWidth="1" min="5" max="5" width="13.88"/>
    <col customWidth="1" min="6" max="6" width="23.63"/>
    <col customWidth="1" min="7" max="7" width="11.5"/>
    <col customWidth="1" min="10" max="10" width="27.25"/>
    <col customWidth="1" min="12" max="12" width="6.88"/>
    <col customWidth="1" min="13" max="13" width="10.5"/>
    <col customWidth="1" min="14" max="14" width="7.25"/>
    <col customWidth="1" min="16" max="16" width="10.5"/>
    <col customWidth="1" min="17" max="17" width="7.25"/>
    <col customWidth="1" min="18" max="18" width="8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</row>
    <row r="2">
      <c r="A2" s="3">
        <v>45421.0</v>
      </c>
      <c r="B2" s="4" t="s">
        <v>7</v>
      </c>
      <c r="C2" s="4">
        <v>2.0</v>
      </c>
      <c r="D2" s="5">
        <v>1.0</v>
      </c>
      <c r="E2" s="5">
        <v>1.0</v>
      </c>
      <c r="G2" s="6" t="s">
        <v>8</v>
      </c>
      <c r="H2" s="6" t="s">
        <v>9</v>
      </c>
      <c r="I2" s="6" t="s">
        <v>10</v>
      </c>
    </row>
    <row r="3">
      <c r="A3" s="3">
        <v>45421.0</v>
      </c>
      <c r="B3" s="4" t="s">
        <v>7</v>
      </c>
      <c r="C3" s="4">
        <v>226.0</v>
      </c>
      <c r="D3" s="5">
        <v>1.0</v>
      </c>
      <c r="E3" s="5">
        <v>2.0</v>
      </c>
      <c r="G3" s="6">
        <v>10.0</v>
      </c>
      <c r="H3" s="7">
        <v>0.3590277777777778</v>
      </c>
      <c r="I3" s="6">
        <v>15.0</v>
      </c>
      <c r="J3" s="6" t="s">
        <v>11</v>
      </c>
    </row>
    <row r="4">
      <c r="A4" s="3">
        <v>45421.0</v>
      </c>
      <c r="B4" s="4" t="s">
        <v>7</v>
      </c>
      <c r="C4" s="4">
        <v>210.0</v>
      </c>
      <c r="D4" s="5">
        <v>1.0</v>
      </c>
      <c r="E4" s="5">
        <v>3.0</v>
      </c>
      <c r="G4" s="6">
        <v>20.0</v>
      </c>
      <c r="H4" s="7">
        <v>0.3701388888888889</v>
      </c>
      <c r="I4" s="6">
        <v>10.0</v>
      </c>
    </row>
    <row r="5">
      <c r="A5" s="3">
        <v>45421.0</v>
      </c>
      <c r="B5" s="4" t="s">
        <v>7</v>
      </c>
      <c r="C5" s="4">
        <v>225.0</v>
      </c>
      <c r="D5" s="5">
        <v>1.0</v>
      </c>
      <c r="E5" s="5">
        <v>4.0</v>
      </c>
      <c r="G5" s="6">
        <v>40.0</v>
      </c>
      <c r="H5" s="7">
        <v>0.3770833333333333</v>
      </c>
      <c r="I5" s="6">
        <v>10.0</v>
      </c>
    </row>
    <row r="6">
      <c r="A6" s="3">
        <v>45421.0</v>
      </c>
      <c r="B6" s="4" t="s">
        <v>7</v>
      </c>
      <c r="C6" s="4" t="s">
        <v>12</v>
      </c>
      <c r="D6" s="5">
        <v>1.0</v>
      </c>
      <c r="E6" s="5">
        <v>5.0</v>
      </c>
      <c r="G6" s="6">
        <v>60.0</v>
      </c>
      <c r="H6" s="7">
        <v>0.3840277777777778</v>
      </c>
      <c r="I6" s="6">
        <v>10.0</v>
      </c>
    </row>
    <row r="7">
      <c r="A7" s="3">
        <v>45421.0</v>
      </c>
      <c r="B7" s="4" t="s">
        <v>7</v>
      </c>
      <c r="C7" s="4">
        <v>1.0</v>
      </c>
      <c r="D7" s="5">
        <v>1.0</v>
      </c>
      <c r="E7" s="5">
        <v>6.0</v>
      </c>
      <c r="G7" s="6">
        <v>80.0</v>
      </c>
      <c r="H7" s="7">
        <v>0.3909722222222222</v>
      </c>
      <c r="I7" s="6">
        <v>10.0</v>
      </c>
    </row>
    <row r="8">
      <c r="A8" s="3">
        <v>45421.0</v>
      </c>
      <c r="B8" s="4" t="s">
        <v>7</v>
      </c>
      <c r="C8" s="4">
        <v>209.0</v>
      </c>
      <c r="D8" s="5">
        <v>1.0</v>
      </c>
      <c r="E8" s="5">
        <v>7.0</v>
      </c>
      <c r="G8" s="6">
        <v>100.0</v>
      </c>
      <c r="H8" s="7">
        <v>0.39791666666666664</v>
      </c>
      <c r="I8" s="6">
        <v>10.0</v>
      </c>
    </row>
    <row r="9">
      <c r="A9" s="3">
        <v>45421.0</v>
      </c>
      <c r="B9" s="4" t="s">
        <v>7</v>
      </c>
      <c r="C9" s="4">
        <v>211.0</v>
      </c>
      <c r="D9" s="5">
        <v>1.0</v>
      </c>
      <c r="E9" s="5">
        <v>8.0</v>
      </c>
      <c r="G9" s="6">
        <v>0.0</v>
      </c>
      <c r="H9" s="7">
        <v>0.4048611111111111</v>
      </c>
      <c r="I9" s="6">
        <v>16.0</v>
      </c>
    </row>
    <row r="10">
      <c r="A10" s="3">
        <v>45421.0</v>
      </c>
      <c r="B10" s="4" t="s">
        <v>7</v>
      </c>
      <c r="C10" s="4">
        <v>243.0</v>
      </c>
      <c r="D10" s="5">
        <v>1.0</v>
      </c>
      <c r="E10" s="5">
        <v>9.0</v>
      </c>
      <c r="G10" s="6">
        <v>5.0</v>
      </c>
      <c r="H10" s="7">
        <v>0.41597222222222224</v>
      </c>
      <c r="I10" s="6">
        <v>16.0</v>
      </c>
      <c r="J10" s="6" t="s">
        <v>13</v>
      </c>
    </row>
    <row r="11">
      <c r="A11" s="3">
        <v>45421.0</v>
      </c>
      <c r="B11" s="4" t="s">
        <v>7</v>
      </c>
      <c r="C11" s="4">
        <v>244.0</v>
      </c>
      <c r="D11" s="5">
        <v>1.0</v>
      </c>
      <c r="E11" s="5">
        <v>10.0</v>
      </c>
    </row>
    <row r="12">
      <c r="A12" s="8">
        <v>45421.0</v>
      </c>
      <c r="B12" s="9" t="s">
        <v>7</v>
      </c>
      <c r="C12" s="9" t="s">
        <v>14</v>
      </c>
      <c r="D12" s="10">
        <v>1.0</v>
      </c>
      <c r="E12" s="10">
        <v>11.0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</row>
    <row r="13">
      <c r="A13" s="3">
        <v>45421.0</v>
      </c>
      <c r="B13" s="4" t="s">
        <v>7</v>
      </c>
      <c r="C13" s="6">
        <v>241.0</v>
      </c>
      <c r="D13" s="12">
        <v>2.0</v>
      </c>
      <c r="E13" s="5">
        <v>1.0</v>
      </c>
      <c r="G13" s="2" t="s">
        <v>15</v>
      </c>
    </row>
    <row r="14">
      <c r="A14" s="3">
        <v>45421.0</v>
      </c>
      <c r="B14" s="4" t="s">
        <v>7</v>
      </c>
      <c r="C14" s="6">
        <v>221.0</v>
      </c>
      <c r="D14" s="12">
        <v>2.0</v>
      </c>
      <c r="E14" s="5">
        <v>2.0</v>
      </c>
      <c r="G14" s="6" t="s">
        <v>8</v>
      </c>
      <c r="H14" s="6" t="s">
        <v>9</v>
      </c>
      <c r="I14" s="6" t="s">
        <v>10</v>
      </c>
      <c r="L14" s="6" t="s">
        <v>16</v>
      </c>
      <c r="M14" s="6" t="s">
        <v>17</v>
      </c>
      <c r="N14" s="6" t="s">
        <v>18</v>
      </c>
      <c r="O14" s="6" t="s">
        <v>19</v>
      </c>
      <c r="P14" s="6" t="s">
        <v>17</v>
      </c>
      <c r="Q14" s="6" t="s">
        <v>18</v>
      </c>
      <c r="R14" s="6" t="s">
        <v>20</v>
      </c>
      <c r="S14" s="6" t="s">
        <v>21</v>
      </c>
      <c r="T14" s="6" t="s">
        <v>22</v>
      </c>
      <c r="U14" s="6" t="s">
        <v>23</v>
      </c>
    </row>
    <row r="15">
      <c r="A15" s="3">
        <v>45421.0</v>
      </c>
      <c r="B15" s="4" t="s">
        <v>7</v>
      </c>
      <c r="C15" s="6">
        <v>242.0</v>
      </c>
      <c r="D15" s="12">
        <v>2.0</v>
      </c>
      <c r="E15" s="5">
        <v>3.0</v>
      </c>
      <c r="G15" s="6">
        <v>5.0</v>
      </c>
      <c r="H15" s="7">
        <v>0.43680555555555556</v>
      </c>
      <c r="I15" s="6">
        <v>10.0</v>
      </c>
      <c r="J15" s="6" t="s">
        <v>24</v>
      </c>
      <c r="L15" s="6">
        <v>10.0</v>
      </c>
      <c r="M15" s="6">
        <f>219-222.5</f>
        <v>-3.5</v>
      </c>
      <c r="N15" s="6">
        <v>13.3</v>
      </c>
      <c r="O15" s="13">
        <f t="shared" ref="O15:O17" si="1">M15/N15</f>
        <v>-0.2631578947</v>
      </c>
      <c r="P15" s="6">
        <f>228-235</f>
        <v>-7</v>
      </c>
      <c r="Q15" s="6">
        <v>8.0</v>
      </c>
      <c r="R15" s="13">
        <f t="shared" ref="R15:R17" si="2">P15/Q15</f>
        <v>-0.875</v>
      </c>
      <c r="S15" s="13">
        <f t="shared" ref="S15:S17" si="3">O15-R15</f>
        <v>0.6118421053</v>
      </c>
      <c r="T15" s="13">
        <f t="shared" ref="T15:T17" si="4">R15/O15</f>
        <v>3.325</v>
      </c>
      <c r="U15" s="6" t="s">
        <v>25</v>
      </c>
    </row>
    <row r="16">
      <c r="A16" s="3">
        <v>45421.0</v>
      </c>
      <c r="B16" s="4" t="s">
        <v>7</v>
      </c>
      <c r="C16" s="6">
        <v>4.0</v>
      </c>
      <c r="D16" s="12">
        <v>2.0</v>
      </c>
      <c r="E16" s="5">
        <v>4.0</v>
      </c>
      <c r="G16" s="6">
        <v>10.0</v>
      </c>
      <c r="H16" s="7">
        <v>0.44513888888888886</v>
      </c>
      <c r="I16" s="6">
        <v>15.0</v>
      </c>
      <c r="L16" s="6">
        <v>3.0</v>
      </c>
      <c r="M16" s="13">
        <f>158-162</f>
        <v>-4</v>
      </c>
      <c r="N16" s="13">
        <f>13.3-6.5</f>
        <v>6.8</v>
      </c>
      <c r="O16" s="13">
        <f t="shared" si="1"/>
        <v>-0.5882352941</v>
      </c>
      <c r="P16" s="6">
        <f>194-202</f>
        <v>-8</v>
      </c>
      <c r="Q16" s="6">
        <f t="shared" ref="Q16:Q17" si="5">31-23</f>
        <v>8</v>
      </c>
      <c r="R16" s="13">
        <f t="shared" si="2"/>
        <v>-1</v>
      </c>
      <c r="S16" s="13">
        <f t="shared" si="3"/>
        <v>0.4117647059</v>
      </c>
      <c r="T16" s="13">
        <f t="shared" si="4"/>
        <v>1.7</v>
      </c>
    </row>
    <row r="17">
      <c r="A17" s="3">
        <v>45421.0</v>
      </c>
      <c r="B17" s="4" t="s">
        <v>7</v>
      </c>
      <c r="C17" s="6" t="s">
        <v>12</v>
      </c>
      <c r="D17" s="12">
        <v>2.0</v>
      </c>
      <c r="E17" s="5">
        <v>5.0</v>
      </c>
      <c r="G17" s="6">
        <v>20.0</v>
      </c>
      <c r="H17" s="7">
        <v>0.45555555555555555</v>
      </c>
      <c r="I17" s="6">
        <v>10.0</v>
      </c>
      <c r="J17" s="6" t="s">
        <v>26</v>
      </c>
      <c r="L17" s="6">
        <v>1.0</v>
      </c>
      <c r="M17" s="6">
        <f>216.75-218</f>
        <v>-1.25</v>
      </c>
      <c r="N17" s="6">
        <f>13.3-6.4</f>
        <v>6.9</v>
      </c>
      <c r="O17" s="13">
        <f t="shared" si="1"/>
        <v>-0.1811594203</v>
      </c>
      <c r="P17" s="6">
        <f>283-297</f>
        <v>-14</v>
      </c>
      <c r="Q17" s="6">
        <f t="shared" si="5"/>
        <v>8</v>
      </c>
      <c r="R17" s="13">
        <f t="shared" si="2"/>
        <v>-1.75</v>
      </c>
      <c r="S17" s="13">
        <f t="shared" si="3"/>
        <v>1.56884058</v>
      </c>
      <c r="T17" s="13">
        <f t="shared" si="4"/>
        <v>9.66</v>
      </c>
    </row>
    <row r="18">
      <c r="A18" s="3">
        <v>45421.0</v>
      </c>
      <c r="B18" s="4" t="s">
        <v>7</v>
      </c>
      <c r="C18" s="6">
        <v>237.0</v>
      </c>
      <c r="D18" s="12">
        <v>2.0</v>
      </c>
      <c r="E18" s="5">
        <v>6.0</v>
      </c>
      <c r="G18" s="6">
        <v>40.0</v>
      </c>
      <c r="H18" s="7">
        <v>0.4625</v>
      </c>
      <c r="I18" s="6">
        <v>10.0</v>
      </c>
    </row>
    <row r="19">
      <c r="A19" s="3">
        <v>45421.0</v>
      </c>
      <c r="B19" s="4" t="s">
        <v>7</v>
      </c>
      <c r="C19" s="6">
        <v>12.0</v>
      </c>
      <c r="D19" s="12">
        <v>2.0</v>
      </c>
      <c r="E19" s="5">
        <v>7.0</v>
      </c>
      <c r="G19" s="6">
        <v>60.0</v>
      </c>
      <c r="H19" s="7">
        <v>0.46944444444444444</v>
      </c>
      <c r="I19" s="6">
        <v>10.0</v>
      </c>
    </row>
    <row r="20">
      <c r="A20" s="3">
        <v>45421.0</v>
      </c>
      <c r="B20" s="4" t="s">
        <v>7</v>
      </c>
      <c r="C20" s="6">
        <v>3.0</v>
      </c>
      <c r="D20" s="12">
        <v>2.0</v>
      </c>
      <c r="E20" s="5">
        <v>8.0</v>
      </c>
      <c r="G20" s="6">
        <v>80.0</v>
      </c>
      <c r="H20" s="7">
        <v>0.47638888888888886</v>
      </c>
      <c r="I20" s="6">
        <v>10.0</v>
      </c>
    </row>
    <row r="21">
      <c r="A21" s="3">
        <v>45421.0</v>
      </c>
      <c r="B21" s="4" t="s">
        <v>7</v>
      </c>
      <c r="C21" s="6">
        <v>43.0</v>
      </c>
      <c r="D21" s="12">
        <v>2.0</v>
      </c>
      <c r="E21" s="5">
        <v>9.0</v>
      </c>
      <c r="G21" s="6">
        <v>100.0</v>
      </c>
      <c r="H21" s="7">
        <v>0.48333333333333334</v>
      </c>
      <c r="I21" s="6">
        <v>10.0</v>
      </c>
    </row>
    <row r="22">
      <c r="A22" s="3">
        <v>45421.0</v>
      </c>
      <c r="B22" s="4" t="s">
        <v>7</v>
      </c>
      <c r="C22" s="6">
        <v>44.0</v>
      </c>
      <c r="D22" s="12">
        <v>2.0</v>
      </c>
      <c r="E22" s="5">
        <v>10.0</v>
      </c>
      <c r="G22" s="6">
        <v>0.0</v>
      </c>
      <c r="H22" s="7">
        <v>0.4909722222222222</v>
      </c>
      <c r="I22" s="6">
        <v>15.0</v>
      </c>
    </row>
    <row r="23">
      <c r="A23" s="8">
        <v>45421.0</v>
      </c>
      <c r="B23" s="9" t="s">
        <v>7</v>
      </c>
      <c r="C23" s="14" t="s">
        <v>14</v>
      </c>
      <c r="D23" s="15">
        <v>2.0</v>
      </c>
      <c r="E23" s="10">
        <v>11.0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</row>
    <row r="24">
      <c r="A24" s="3">
        <v>45421.0</v>
      </c>
      <c r="B24" s="4" t="s">
        <v>7</v>
      </c>
      <c r="C24" s="6">
        <v>240.0</v>
      </c>
      <c r="D24" s="12">
        <v>3.0</v>
      </c>
      <c r="E24" s="5">
        <v>1.0</v>
      </c>
      <c r="G24" s="2" t="s">
        <v>27</v>
      </c>
    </row>
    <row r="25">
      <c r="A25" s="3">
        <v>45421.0</v>
      </c>
      <c r="B25" s="4" t="s">
        <v>7</v>
      </c>
      <c r="C25" s="6">
        <v>19.0</v>
      </c>
      <c r="D25" s="12">
        <v>3.0</v>
      </c>
      <c r="E25" s="5">
        <v>2.0</v>
      </c>
      <c r="G25" s="6" t="s">
        <v>8</v>
      </c>
      <c r="H25" s="6" t="s">
        <v>9</v>
      </c>
      <c r="I25" s="6" t="s">
        <v>10</v>
      </c>
    </row>
    <row r="26">
      <c r="A26" s="3">
        <v>45421.0</v>
      </c>
      <c r="B26" s="4" t="s">
        <v>7</v>
      </c>
      <c r="C26" s="6">
        <v>239.0</v>
      </c>
      <c r="D26" s="12">
        <v>3.0</v>
      </c>
      <c r="E26" s="5">
        <v>3.0</v>
      </c>
      <c r="G26" s="6">
        <v>5.0</v>
      </c>
      <c r="H26" s="7">
        <v>0.5159722222222223</v>
      </c>
      <c r="I26" s="6">
        <v>15.0</v>
      </c>
    </row>
    <row r="27">
      <c r="A27" s="3">
        <v>45421.0</v>
      </c>
      <c r="B27" s="4" t="s">
        <v>7</v>
      </c>
      <c r="C27" s="6">
        <v>20.0</v>
      </c>
      <c r="D27" s="12">
        <v>3.0</v>
      </c>
      <c r="E27" s="5">
        <v>4.0</v>
      </c>
      <c r="G27" s="6">
        <v>10.0</v>
      </c>
      <c r="H27" s="7">
        <v>0.5263888888888889</v>
      </c>
      <c r="I27" s="6">
        <v>10.0</v>
      </c>
    </row>
    <row r="28">
      <c r="A28" s="3">
        <v>45421.0</v>
      </c>
      <c r="B28" s="4" t="s">
        <v>7</v>
      </c>
      <c r="C28" s="6" t="s">
        <v>12</v>
      </c>
      <c r="D28" s="12">
        <v>3.0</v>
      </c>
      <c r="E28" s="5">
        <v>5.0</v>
      </c>
      <c r="G28" s="6">
        <v>20.0</v>
      </c>
      <c r="H28" s="7">
        <v>0.5333333333333333</v>
      </c>
      <c r="I28" s="6">
        <v>10.0</v>
      </c>
    </row>
    <row r="29">
      <c r="A29" s="3">
        <v>45421.0</v>
      </c>
      <c r="B29" s="4" t="s">
        <v>7</v>
      </c>
      <c r="C29" s="6">
        <v>41.0</v>
      </c>
      <c r="D29" s="12">
        <v>3.0</v>
      </c>
      <c r="E29" s="5">
        <v>6.0</v>
      </c>
      <c r="G29" s="6">
        <v>40.0</v>
      </c>
      <c r="H29" s="7">
        <v>0.5402777777777777</v>
      </c>
      <c r="I29" s="6">
        <v>11.0</v>
      </c>
      <c r="J29" s="6" t="s">
        <v>28</v>
      </c>
    </row>
    <row r="30">
      <c r="A30" s="3">
        <v>45421.0</v>
      </c>
      <c r="B30" s="4" t="s">
        <v>7</v>
      </c>
      <c r="C30" s="6">
        <v>213.0</v>
      </c>
      <c r="D30" s="12">
        <v>3.0</v>
      </c>
      <c r="E30" s="5">
        <v>7.0</v>
      </c>
      <c r="G30" s="6">
        <v>60.0</v>
      </c>
      <c r="H30" s="7">
        <v>0.5479166666666667</v>
      </c>
      <c r="I30" s="6">
        <v>10.0</v>
      </c>
    </row>
    <row r="31">
      <c r="A31" s="3">
        <v>45421.0</v>
      </c>
      <c r="B31" s="4" t="s">
        <v>7</v>
      </c>
      <c r="C31" s="6">
        <v>42.0</v>
      </c>
      <c r="D31" s="12">
        <v>3.0</v>
      </c>
      <c r="E31" s="5">
        <v>8.0</v>
      </c>
      <c r="G31" s="6">
        <v>80.0</v>
      </c>
      <c r="H31" s="7">
        <v>0.5548611111111111</v>
      </c>
      <c r="I31" s="6">
        <v>10.0</v>
      </c>
      <c r="J31" s="6" t="s">
        <v>29</v>
      </c>
    </row>
    <row r="32">
      <c r="A32" s="3">
        <v>45421.0</v>
      </c>
      <c r="B32" s="4" t="s">
        <v>7</v>
      </c>
      <c r="C32" s="6">
        <v>214.0</v>
      </c>
      <c r="D32" s="12">
        <v>3.0</v>
      </c>
      <c r="E32" s="5">
        <v>9.0</v>
      </c>
      <c r="G32" s="6">
        <v>100.0</v>
      </c>
      <c r="H32" s="7">
        <v>0.5618055555555556</v>
      </c>
      <c r="I32" s="6">
        <v>10.0</v>
      </c>
    </row>
    <row r="33">
      <c r="A33" s="3">
        <v>45421.0</v>
      </c>
      <c r="B33" s="4" t="s">
        <v>7</v>
      </c>
      <c r="C33" s="6">
        <v>238.0</v>
      </c>
      <c r="D33" s="12">
        <v>3.0</v>
      </c>
      <c r="E33" s="5">
        <v>10.0</v>
      </c>
      <c r="G33" s="6">
        <v>0.0</v>
      </c>
      <c r="H33" s="7">
        <v>0.56875</v>
      </c>
      <c r="I33" s="6">
        <v>15.0</v>
      </c>
      <c r="J33" s="6" t="s">
        <v>30</v>
      </c>
    </row>
    <row r="34">
      <c r="A34" s="8">
        <v>45421.0</v>
      </c>
      <c r="B34" s="9" t="s">
        <v>7</v>
      </c>
      <c r="C34" s="14" t="s">
        <v>14</v>
      </c>
      <c r="D34" s="15">
        <v>3.0</v>
      </c>
      <c r="E34" s="10">
        <v>11.0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</row>
    <row r="35">
      <c r="A35" s="3">
        <v>45421.0</v>
      </c>
      <c r="B35" s="4" t="s">
        <v>7</v>
      </c>
      <c r="C35" s="6">
        <v>233.0</v>
      </c>
      <c r="D35" s="12">
        <v>4.0</v>
      </c>
      <c r="E35" s="5">
        <v>1.0</v>
      </c>
      <c r="G35" s="2" t="s">
        <v>31</v>
      </c>
    </row>
    <row r="36">
      <c r="A36" s="3">
        <v>45421.0</v>
      </c>
      <c r="B36" s="4" t="s">
        <v>7</v>
      </c>
      <c r="C36" s="6">
        <v>201.0</v>
      </c>
      <c r="D36" s="12">
        <v>4.0</v>
      </c>
      <c r="E36" s="5">
        <v>2.0</v>
      </c>
      <c r="G36" s="6" t="s">
        <v>8</v>
      </c>
      <c r="H36" s="6" t="s">
        <v>9</v>
      </c>
      <c r="I36" s="6" t="s">
        <v>10</v>
      </c>
    </row>
    <row r="37">
      <c r="A37" s="3">
        <v>45421.0</v>
      </c>
      <c r="B37" s="4" t="s">
        <v>7</v>
      </c>
      <c r="C37" s="6">
        <v>28.0</v>
      </c>
      <c r="D37" s="12">
        <v>4.0</v>
      </c>
      <c r="E37" s="5">
        <v>3.0</v>
      </c>
      <c r="G37" s="6">
        <v>5.0</v>
      </c>
      <c r="H37" s="7">
        <v>0.5972222222222222</v>
      </c>
      <c r="I37" s="6">
        <v>15.0</v>
      </c>
    </row>
    <row r="38">
      <c r="A38" s="3">
        <v>45421.0</v>
      </c>
      <c r="B38" s="4" t="s">
        <v>7</v>
      </c>
      <c r="C38" s="6">
        <v>202.0</v>
      </c>
      <c r="D38" s="12">
        <v>4.0</v>
      </c>
      <c r="E38" s="5">
        <v>4.0</v>
      </c>
      <c r="G38" s="6">
        <v>10.0</v>
      </c>
      <c r="H38" s="7">
        <v>0.6076388888888888</v>
      </c>
      <c r="I38" s="6">
        <v>10.0</v>
      </c>
    </row>
    <row r="39">
      <c r="A39" s="3">
        <v>45421.0</v>
      </c>
      <c r="B39" s="4" t="s">
        <v>7</v>
      </c>
      <c r="C39" s="6" t="s">
        <v>12</v>
      </c>
      <c r="D39" s="12">
        <v>4.0</v>
      </c>
      <c r="E39" s="5">
        <v>5.0</v>
      </c>
      <c r="G39" s="6">
        <v>20.0</v>
      </c>
      <c r="H39" s="7">
        <v>0.6145833333333334</v>
      </c>
      <c r="I39" s="6">
        <v>10.0</v>
      </c>
    </row>
    <row r="40">
      <c r="A40" s="3">
        <v>45421.0</v>
      </c>
      <c r="B40" s="4" t="s">
        <v>7</v>
      </c>
      <c r="C40" s="6">
        <v>236.0</v>
      </c>
      <c r="D40" s="12">
        <v>4.0</v>
      </c>
      <c r="E40" s="5">
        <v>6.0</v>
      </c>
      <c r="G40" s="6">
        <v>40.0</v>
      </c>
      <c r="H40" s="7">
        <v>0.6215277777777778</v>
      </c>
      <c r="I40" s="6">
        <v>10.0</v>
      </c>
      <c r="J40" s="6" t="s">
        <v>32</v>
      </c>
    </row>
    <row r="41">
      <c r="A41" s="3">
        <v>45421.0</v>
      </c>
      <c r="B41" s="4" t="s">
        <v>7</v>
      </c>
      <c r="C41" s="6">
        <v>29.0</v>
      </c>
      <c r="D41" s="12">
        <v>4.0</v>
      </c>
      <c r="E41" s="5">
        <v>7.0</v>
      </c>
      <c r="G41" s="6">
        <v>60.0</v>
      </c>
      <c r="H41" s="7">
        <v>0.6284722222222222</v>
      </c>
      <c r="I41" s="6">
        <v>10.0</v>
      </c>
      <c r="J41" s="6" t="s">
        <v>33</v>
      </c>
    </row>
    <row r="42">
      <c r="A42" s="3">
        <v>45421.0</v>
      </c>
      <c r="B42" s="4" t="s">
        <v>7</v>
      </c>
      <c r="C42" s="6">
        <v>220.0</v>
      </c>
      <c r="D42" s="12">
        <v>4.0</v>
      </c>
      <c r="E42" s="5">
        <v>8.0</v>
      </c>
      <c r="G42" s="6">
        <v>80.0</v>
      </c>
      <c r="H42" s="7">
        <v>0.6354166666666666</v>
      </c>
      <c r="I42" s="6">
        <v>10.0</v>
      </c>
    </row>
    <row r="43">
      <c r="A43" s="3">
        <v>45421.0</v>
      </c>
      <c r="B43" s="4" t="s">
        <v>7</v>
      </c>
      <c r="C43" s="6">
        <v>235.0</v>
      </c>
      <c r="D43" s="12">
        <v>4.0</v>
      </c>
      <c r="E43" s="5">
        <v>9.0</v>
      </c>
      <c r="G43" s="6">
        <v>100.0</v>
      </c>
      <c r="H43" s="7">
        <v>0.6423611111111112</v>
      </c>
      <c r="I43" s="6">
        <v>10.0</v>
      </c>
    </row>
    <row r="44">
      <c r="A44" s="3">
        <v>45421.0</v>
      </c>
      <c r="B44" s="4" t="s">
        <v>7</v>
      </c>
      <c r="C44" s="6">
        <v>219.0</v>
      </c>
      <c r="D44" s="12">
        <v>4.0</v>
      </c>
      <c r="E44" s="5">
        <v>10.0</v>
      </c>
      <c r="G44" s="6">
        <v>0.0</v>
      </c>
      <c r="H44" s="7">
        <v>0.6493055555555556</v>
      </c>
      <c r="I44" s="6">
        <v>15.0</v>
      </c>
    </row>
    <row r="45">
      <c r="A45" s="8">
        <v>45421.0</v>
      </c>
      <c r="B45" s="9" t="s">
        <v>7</v>
      </c>
      <c r="C45" s="14" t="s">
        <v>14</v>
      </c>
      <c r="D45" s="15">
        <v>4.0</v>
      </c>
      <c r="E45" s="10">
        <v>11.0</v>
      </c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</row>
    <row r="46">
      <c r="A46" s="16">
        <v>45422.0</v>
      </c>
      <c r="B46" s="4" t="s">
        <v>7</v>
      </c>
      <c r="C46" s="6">
        <v>247.0</v>
      </c>
      <c r="D46" s="12">
        <v>5.0</v>
      </c>
      <c r="E46" s="5">
        <v>1.0</v>
      </c>
      <c r="G46" s="2" t="s">
        <v>34</v>
      </c>
    </row>
    <row r="47">
      <c r="A47" s="16">
        <v>45422.0</v>
      </c>
      <c r="B47" s="4" t="s">
        <v>7</v>
      </c>
      <c r="C47" s="6">
        <v>205.0</v>
      </c>
      <c r="D47" s="12">
        <v>5.0</v>
      </c>
      <c r="E47" s="5">
        <v>2.0</v>
      </c>
      <c r="G47" s="6" t="s">
        <v>8</v>
      </c>
      <c r="H47" s="6" t="s">
        <v>9</v>
      </c>
      <c r="I47" s="6" t="s">
        <v>10</v>
      </c>
    </row>
    <row r="48">
      <c r="A48" s="16">
        <v>45422.0</v>
      </c>
      <c r="B48" s="4" t="s">
        <v>7</v>
      </c>
      <c r="C48" s="6">
        <v>27.0</v>
      </c>
      <c r="D48" s="12">
        <v>5.0</v>
      </c>
      <c r="E48" s="5">
        <v>3.0</v>
      </c>
      <c r="G48" s="6">
        <v>5.0</v>
      </c>
      <c r="H48" s="7">
        <v>0.3548611111111111</v>
      </c>
      <c r="I48" s="6">
        <v>15.0</v>
      </c>
    </row>
    <row r="49">
      <c r="A49" s="16">
        <v>45422.0</v>
      </c>
      <c r="B49" s="4" t="s">
        <v>7</v>
      </c>
      <c r="C49" s="6">
        <v>206.0</v>
      </c>
      <c r="D49" s="12">
        <v>5.0</v>
      </c>
      <c r="E49" s="5">
        <v>4.0</v>
      </c>
      <c r="G49" s="6">
        <v>10.0</v>
      </c>
      <c r="H49" s="7">
        <v>0.36527777777777776</v>
      </c>
      <c r="I49" s="6">
        <v>10.0</v>
      </c>
    </row>
    <row r="50">
      <c r="A50" s="16">
        <v>45422.0</v>
      </c>
      <c r="B50" s="4" t="s">
        <v>7</v>
      </c>
      <c r="C50" s="6" t="s">
        <v>12</v>
      </c>
      <c r="D50" s="12">
        <v>5.0</v>
      </c>
      <c r="E50" s="5">
        <v>5.0</v>
      </c>
      <c r="G50" s="6">
        <v>20.0</v>
      </c>
      <c r="H50" s="7">
        <v>0.37222222222222223</v>
      </c>
      <c r="I50" s="6">
        <v>11.0</v>
      </c>
    </row>
    <row r="51">
      <c r="A51" s="16">
        <v>45422.0</v>
      </c>
      <c r="B51" s="4" t="s">
        <v>7</v>
      </c>
      <c r="C51" s="6">
        <v>26.0</v>
      </c>
      <c r="D51" s="12">
        <v>5.0</v>
      </c>
      <c r="E51" s="5">
        <v>6.0</v>
      </c>
      <c r="G51" s="6">
        <v>40.0</v>
      </c>
      <c r="H51" s="7">
        <v>0.3798611111111111</v>
      </c>
      <c r="I51" s="6">
        <v>10.0</v>
      </c>
    </row>
    <row r="52">
      <c r="A52" s="16">
        <v>45422.0</v>
      </c>
      <c r="B52" s="4" t="s">
        <v>7</v>
      </c>
      <c r="C52" s="6">
        <v>203.0</v>
      </c>
      <c r="D52" s="12">
        <v>5.0</v>
      </c>
      <c r="E52" s="5">
        <v>7.0</v>
      </c>
      <c r="G52" s="6">
        <v>60.0</v>
      </c>
      <c r="H52" s="7">
        <v>0.38680555555555557</v>
      </c>
      <c r="I52" s="6">
        <v>10.0</v>
      </c>
    </row>
    <row r="53">
      <c r="A53" s="16">
        <v>45422.0</v>
      </c>
      <c r="B53" s="4" t="s">
        <v>7</v>
      </c>
      <c r="C53" s="6">
        <v>234.0</v>
      </c>
      <c r="D53" s="12">
        <v>5.0</v>
      </c>
      <c r="E53" s="5">
        <v>8.0</v>
      </c>
      <c r="G53" s="6">
        <v>80.0</v>
      </c>
      <c r="H53" s="7">
        <v>0.39375</v>
      </c>
      <c r="I53" s="6">
        <v>10.0</v>
      </c>
    </row>
    <row r="54">
      <c r="A54" s="16">
        <v>45422.0</v>
      </c>
      <c r="B54" s="4" t="s">
        <v>7</v>
      </c>
      <c r="C54" s="6">
        <v>204.0</v>
      </c>
      <c r="D54" s="12">
        <v>5.0</v>
      </c>
      <c r="E54" s="5">
        <v>9.0</v>
      </c>
      <c r="G54" s="6">
        <v>100.0</v>
      </c>
      <c r="H54" s="7">
        <v>0.40069444444444446</v>
      </c>
      <c r="I54" s="6">
        <v>10.0</v>
      </c>
      <c r="J54" s="6" t="s">
        <v>35</v>
      </c>
    </row>
    <row r="55">
      <c r="A55" s="16">
        <v>45422.0</v>
      </c>
      <c r="B55" s="4" t="s">
        <v>7</v>
      </c>
      <c r="C55" s="6">
        <v>248.0</v>
      </c>
      <c r="D55" s="12">
        <v>5.0</v>
      </c>
      <c r="E55" s="5">
        <v>10.0</v>
      </c>
      <c r="G55" s="6">
        <v>0.0</v>
      </c>
      <c r="H55" s="7">
        <v>0.4076388888888889</v>
      </c>
      <c r="I55" s="6">
        <v>15.0</v>
      </c>
    </row>
    <row r="56">
      <c r="A56" s="17">
        <v>45422.0</v>
      </c>
      <c r="B56" s="9" t="s">
        <v>7</v>
      </c>
      <c r="C56" s="14" t="s">
        <v>14</v>
      </c>
      <c r="D56" s="15">
        <v>5.0</v>
      </c>
      <c r="E56" s="10">
        <v>11.0</v>
      </c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</row>
  </sheetData>
  <drawing r:id="rId1"/>
</worksheet>
</file>