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DARK" sheetId="1" r:id="rId4"/>
    <sheet state="visible" name="DARK ONLY" sheetId="2" r:id="rId5"/>
  </sheets>
  <definedNames/>
  <calcPr/>
</workbook>
</file>

<file path=xl/sharedStrings.xml><?xml version="1.0" encoding="utf-8"?>
<sst xmlns="http://schemas.openxmlformats.org/spreadsheetml/2006/main" count="49" uniqueCount="34">
  <si>
    <t>Date</t>
  </si>
  <si>
    <t>Round</t>
  </si>
  <si>
    <t>Titrator</t>
  </si>
  <si>
    <t>Zub #</t>
  </si>
  <si>
    <t>Sample Volume (mL)</t>
  </si>
  <si>
    <t>Replicate</t>
  </si>
  <si>
    <t>Mass</t>
  </si>
  <si>
    <t>Temperature</t>
  </si>
  <si>
    <t>Alk (Setting should be Alk3)</t>
  </si>
  <si>
    <t>Adjusted by .993</t>
  </si>
  <si>
    <t>Best 2 avergae</t>
  </si>
  <si>
    <t>Notes</t>
  </si>
  <si>
    <t>CRM</t>
  </si>
  <si>
    <t>CRM - BATCH 206</t>
  </si>
  <si>
    <t>A lot of small debris in water</t>
  </si>
  <si>
    <t>removed clearly odd vaue (in 2200s)</t>
  </si>
  <si>
    <t xml:space="preserve">entered wrong weight </t>
  </si>
  <si>
    <t>this is colony 3 which was a tiny frag</t>
  </si>
  <si>
    <t>missed</t>
  </si>
  <si>
    <t>should be 2193.88</t>
  </si>
  <si>
    <t>SW</t>
  </si>
  <si>
    <t>cold but seems ok</t>
  </si>
  <si>
    <t>Multiple by .993</t>
  </si>
  <si>
    <t>Best two average</t>
  </si>
  <si>
    <t xml:space="preserve">Notes </t>
  </si>
  <si>
    <t>Mass used</t>
  </si>
  <si>
    <t>Changed titrant before the previous sample and this one</t>
  </si>
  <si>
    <t xml:space="preserve">missed </t>
  </si>
  <si>
    <t xml:space="preserve">SW </t>
  </si>
  <si>
    <t xml:space="preserve">inlet side </t>
  </si>
  <si>
    <t>SW2</t>
  </si>
  <si>
    <t xml:space="preserve">different water - got from shark side </t>
  </si>
  <si>
    <t>CRM - 206</t>
  </si>
  <si>
    <t xml:space="preserve">CRM -206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</si>
</sst>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yyyy-mm-dd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b/>
      <color theme="1"/>
      <name val="Arial"/>
    </font>
    <font>
      <color rgb="FFFF0000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164" xfId="0" applyAlignment="1" applyFill="1" applyFont="1" applyNumberFormat="1">
      <alignment horizontal="left"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1" fillId="0" fontId="2" numFmtId="166" xfId="0" applyAlignment="1" applyBorder="1" applyFont="1" applyNumberFormat="1">
      <alignment readingOrder="0"/>
    </xf>
    <xf borderId="1" fillId="0" fontId="2" numFmtId="0" xfId="0" applyBorder="1" applyFon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2" fillId="0" fontId="1" numFmtId="0" xfId="0" applyAlignment="1" applyBorder="1" applyFont="1">
      <alignment readingOrder="0"/>
    </xf>
    <xf borderId="2" fillId="0" fontId="2" numFmtId="164" xfId="0" applyAlignment="1" applyBorder="1" applyFont="1" applyNumberFormat="1">
      <alignment readingOrder="0"/>
    </xf>
    <xf borderId="2" fillId="0" fontId="2" numFmtId="165" xfId="0" applyAlignment="1" applyBorder="1" applyFont="1" applyNumberFormat="1">
      <alignment readingOrder="0"/>
    </xf>
    <xf borderId="0" fillId="0" fontId="6" numFmtId="0" xfId="0" applyFont="1"/>
    <xf borderId="0" fillId="0" fontId="2" numFmtId="165" xfId="0" applyFont="1" applyNumberFormat="1"/>
    <xf borderId="0" fillId="0" fontId="1" numFmtId="164" xfId="0" applyAlignment="1" applyFont="1" applyNumberFormat="1">
      <alignment horizontal="right" readingOrder="0" shrinkToFit="0" wrapText="0"/>
    </xf>
    <xf borderId="0" fillId="0" fontId="2" numFmtId="164" xfId="0" applyAlignment="1" applyFont="1" applyNumberFormat="1">
      <alignment horizontal="right" readingOrder="0"/>
    </xf>
    <xf borderId="0" fillId="2" fontId="7" numFmtId="164" xfId="0" applyAlignment="1" applyFont="1" applyNumberFormat="1">
      <alignment horizontal="right" readingOrder="0" shrinkToFit="0" wrapText="0"/>
    </xf>
    <xf borderId="0" fillId="2" fontId="3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1.75"/>
    <col customWidth="1" min="10" max="10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45670.0</v>
      </c>
      <c r="B2" s="6"/>
      <c r="D2" s="6" t="s">
        <v>12</v>
      </c>
      <c r="E2" s="6">
        <v>100.25</v>
      </c>
      <c r="F2" s="6">
        <v>1.0</v>
      </c>
      <c r="G2" s="7"/>
      <c r="H2" s="8"/>
      <c r="J2" s="9">
        <f t="shared" ref="J2:J25" si="1">I2*0.993</f>
        <v>0</v>
      </c>
    </row>
    <row r="3">
      <c r="A3" s="5">
        <v>45670.0</v>
      </c>
      <c r="B3" s="6"/>
      <c r="D3" s="6" t="s">
        <v>13</v>
      </c>
      <c r="F3" s="6"/>
      <c r="G3" s="7"/>
      <c r="H3" s="8"/>
      <c r="I3" s="6">
        <v>2213.8</v>
      </c>
      <c r="J3" s="9">
        <f t="shared" si="1"/>
        <v>2198.3034</v>
      </c>
    </row>
    <row r="4">
      <c r="A4" s="5">
        <v>45670.0</v>
      </c>
      <c r="B4" s="6">
        <v>1.0</v>
      </c>
      <c r="D4" s="1">
        <v>1.0</v>
      </c>
      <c r="F4" s="6">
        <v>1.0</v>
      </c>
      <c r="G4" s="7">
        <v>100.61</v>
      </c>
      <c r="H4" s="8"/>
      <c r="I4" s="6">
        <v>2205.0</v>
      </c>
      <c r="J4" s="9">
        <f t="shared" si="1"/>
        <v>2189.565</v>
      </c>
      <c r="K4" s="9">
        <f>AVERAGE(J4:J5)</f>
        <v>2192.39505</v>
      </c>
    </row>
    <row r="5">
      <c r="A5" s="5">
        <v>45670.0</v>
      </c>
      <c r="B5" s="6">
        <v>1.0</v>
      </c>
      <c r="D5" s="1">
        <v>1.0</v>
      </c>
      <c r="F5" s="6">
        <v>2.0</v>
      </c>
      <c r="G5" s="10">
        <v>100.26</v>
      </c>
      <c r="H5" s="8">
        <v>20.6</v>
      </c>
      <c r="I5" s="6">
        <v>2210.7</v>
      </c>
      <c r="J5" s="9">
        <f t="shared" si="1"/>
        <v>2195.2251</v>
      </c>
      <c r="M5" s="11">
        <f>SUM(G4:G5)</f>
        <v>200.87</v>
      </c>
    </row>
    <row r="6">
      <c r="A6" s="5">
        <v>45670.0</v>
      </c>
      <c r="B6" s="6">
        <v>1.0</v>
      </c>
      <c r="D6" s="6">
        <v>2.0</v>
      </c>
      <c r="E6" s="9">
        <f>53.21+200</f>
        <v>253.21</v>
      </c>
      <c r="F6" s="6">
        <v>1.0</v>
      </c>
      <c r="G6" s="10">
        <v>100.23</v>
      </c>
      <c r="H6" s="8">
        <v>20.8</v>
      </c>
      <c r="I6" s="6">
        <v>2113.3</v>
      </c>
      <c r="J6" s="9">
        <f t="shared" si="1"/>
        <v>2098.5069</v>
      </c>
      <c r="K6" s="9">
        <f>AVERAGE(J6:J7)</f>
        <v>2139.8157</v>
      </c>
    </row>
    <row r="7">
      <c r="A7" s="5">
        <v>45670.0</v>
      </c>
      <c r="B7" s="6">
        <v>1.0</v>
      </c>
      <c r="D7" s="6">
        <v>2.0</v>
      </c>
      <c r="F7" s="6">
        <v>2.0</v>
      </c>
      <c r="G7" s="10">
        <v>100.15</v>
      </c>
      <c r="H7" s="8">
        <v>21.1</v>
      </c>
      <c r="I7" s="6">
        <v>2196.5</v>
      </c>
      <c r="J7" s="9">
        <f t="shared" si="1"/>
        <v>2181.1245</v>
      </c>
      <c r="M7" s="11">
        <f>SUM(G6:G7)</f>
        <v>200.38</v>
      </c>
    </row>
    <row r="8">
      <c r="A8" s="5">
        <v>45670.0</v>
      </c>
      <c r="B8" s="6">
        <v>1.0</v>
      </c>
      <c r="D8" s="6">
        <v>3.0</v>
      </c>
      <c r="E8" s="9">
        <f>47.02+200</f>
        <v>247.02</v>
      </c>
      <c r="F8" s="6">
        <v>1.0</v>
      </c>
      <c r="G8" s="10">
        <v>100.43</v>
      </c>
      <c r="H8" s="8">
        <v>21.7</v>
      </c>
      <c r="I8" s="6">
        <v>2169.2</v>
      </c>
      <c r="J8" s="9">
        <f t="shared" si="1"/>
        <v>2154.0156</v>
      </c>
      <c r="K8" s="9">
        <f>AVERAGE(J8:J9)</f>
        <v>2154.5121</v>
      </c>
    </row>
    <row r="9">
      <c r="A9" s="5">
        <v>45670.0</v>
      </c>
      <c r="B9" s="6">
        <v>1.0</v>
      </c>
      <c r="D9" s="6">
        <v>3.0</v>
      </c>
      <c r="F9" s="6">
        <v>2.0</v>
      </c>
      <c r="G9" s="10">
        <v>100.39</v>
      </c>
      <c r="H9" s="8">
        <v>21.5</v>
      </c>
      <c r="I9" s="6">
        <v>2170.2</v>
      </c>
      <c r="J9" s="9">
        <f t="shared" si="1"/>
        <v>2155.0086</v>
      </c>
      <c r="M9" s="11">
        <f>SUM(G8:G9)</f>
        <v>200.82</v>
      </c>
    </row>
    <row r="10">
      <c r="A10" s="5">
        <v>45670.0</v>
      </c>
      <c r="B10" s="6">
        <v>1.0</v>
      </c>
      <c r="D10" s="6">
        <v>4.0</v>
      </c>
      <c r="E10" s="9">
        <f>38.84+200</f>
        <v>238.84</v>
      </c>
      <c r="F10" s="6">
        <v>1.0</v>
      </c>
      <c r="G10" s="10">
        <v>100.6</v>
      </c>
      <c r="H10" s="8">
        <v>21.8</v>
      </c>
      <c r="I10" s="6">
        <v>2197.4</v>
      </c>
      <c r="J10" s="9">
        <f t="shared" si="1"/>
        <v>2182.0182</v>
      </c>
      <c r="K10" s="9">
        <f>AVERAGE(J10:J11)</f>
        <v>2183.95455</v>
      </c>
    </row>
    <row r="11">
      <c r="A11" s="5">
        <v>45670.0</v>
      </c>
      <c r="B11" s="6">
        <v>1.0</v>
      </c>
      <c r="D11" s="6">
        <v>4.0</v>
      </c>
      <c r="F11" s="6">
        <v>2.0</v>
      </c>
      <c r="G11" s="10">
        <v>100.8</v>
      </c>
      <c r="H11" s="8">
        <v>21.5</v>
      </c>
      <c r="I11" s="6">
        <v>2201.3</v>
      </c>
      <c r="J11" s="9">
        <f t="shared" si="1"/>
        <v>2185.8909</v>
      </c>
      <c r="M11" s="11">
        <f>SUM(G10:G11)</f>
        <v>201.4</v>
      </c>
    </row>
    <row r="12">
      <c r="A12" s="5">
        <v>45670.0</v>
      </c>
      <c r="B12" s="6">
        <v>1.0</v>
      </c>
      <c r="D12" s="6">
        <v>5.0</v>
      </c>
      <c r="E12" s="9">
        <f>47.02+200</f>
        <v>247.02</v>
      </c>
      <c r="F12" s="6">
        <v>1.0</v>
      </c>
      <c r="G12" s="7">
        <v>100.29</v>
      </c>
      <c r="H12" s="8">
        <v>21.6</v>
      </c>
      <c r="I12" s="6">
        <v>2179.8</v>
      </c>
      <c r="J12" s="9">
        <f t="shared" si="1"/>
        <v>2164.5414</v>
      </c>
      <c r="K12" s="9">
        <f>AVERAGE(J12:J13)</f>
        <v>2164.59105</v>
      </c>
    </row>
    <row r="13">
      <c r="A13" s="5">
        <v>45670.0</v>
      </c>
      <c r="B13" s="6">
        <v>1.0</v>
      </c>
      <c r="D13" s="6">
        <v>5.0</v>
      </c>
      <c r="F13" s="6">
        <v>2.0</v>
      </c>
      <c r="G13" s="10">
        <v>100.74</v>
      </c>
      <c r="H13" s="8">
        <v>21.3</v>
      </c>
      <c r="I13" s="6">
        <v>2179.9</v>
      </c>
      <c r="J13" s="9">
        <f t="shared" si="1"/>
        <v>2164.6407</v>
      </c>
      <c r="M13" s="11">
        <f>SUM(G12:G13)</f>
        <v>201.03</v>
      </c>
    </row>
    <row r="14">
      <c r="A14" s="5">
        <v>45670.0</v>
      </c>
      <c r="B14" s="6">
        <v>1.0</v>
      </c>
      <c r="D14" s="6">
        <v>6.0</v>
      </c>
      <c r="E14" s="9">
        <f>40.2+200</f>
        <v>240.2</v>
      </c>
      <c r="F14" s="6">
        <v>1.0</v>
      </c>
      <c r="G14" s="10">
        <v>100.24</v>
      </c>
      <c r="H14" s="8">
        <v>21.7</v>
      </c>
      <c r="I14" s="6">
        <v>2187.4</v>
      </c>
      <c r="J14" s="9">
        <f t="shared" si="1"/>
        <v>2172.0882</v>
      </c>
      <c r="K14" s="9">
        <f>AVERAGE(J14:J15)</f>
        <v>2171.2938</v>
      </c>
    </row>
    <row r="15">
      <c r="A15" s="5">
        <v>45670.0</v>
      </c>
      <c r="B15" s="6">
        <v>1.0</v>
      </c>
      <c r="D15" s="6">
        <v>6.0</v>
      </c>
      <c r="F15" s="6">
        <v>2.0</v>
      </c>
      <c r="G15" s="10">
        <v>100.79</v>
      </c>
      <c r="H15" s="8">
        <v>21.6</v>
      </c>
      <c r="I15" s="6">
        <v>2185.8</v>
      </c>
      <c r="J15" s="9">
        <f t="shared" si="1"/>
        <v>2170.4994</v>
      </c>
      <c r="M15" s="11">
        <f>SUM(G14:G15)</f>
        <v>201.03</v>
      </c>
    </row>
    <row r="16">
      <c r="A16" s="5">
        <v>45670.0</v>
      </c>
      <c r="B16" s="6">
        <v>1.0</v>
      </c>
      <c r="D16" s="6">
        <v>7.0</v>
      </c>
      <c r="E16" s="9">
        <f>39.03+200</f>
        <v>239.03</v>
      </c>
      <c r="F16" s="6">
        <v>1.0</v>
      </c>
      <c r="G16" s="10">
        <v>100.36</v>
      </c>
      <c r="H16" s="8">
        <v>21.5</v>
      </c>
      <c r="I16" s="6">
        <v>2194.8</v>
      </c>
      <c r="J16" s="9">
        <f t="shared" si="1"/>
        <v>2179.4364</v>
      </c>
      <c r="K16" s="9">
        <f>AVERAGE(J16:J17)</f>
        <v>2178.19515</v>
      </c>
    </row>
    <row r="17">
      <c r="A17" s="5">
        <v>45670.0</v>
      </c>
      <c r="B17" s="6">
        <v>1.0</v>
      </c>
      <c r="D17" s="6">
        <v>7.0</v>
      </c>
      <c r="F17" s="6">
        <v>2.0</v>
      </c>
      <c r="G17" s="10">
        <v>100.56</v>
      </c>
      <c r="H17" s="8">
        <v>21.3</v>
      </c>
      <c r="I17" s="6">
        <v>2192.3</v>
      </c>
      <c r="J17" s="9">
        <f t="shared" si="1"/>
        <v>2176.9539</v>
      </c>
      <c r="M17" s="11">
        <f>SUM(G16:G17)</f>
        <v>200.92</v>
      </c>
    </row>
    <row r="18">
      <c r="A18" s="5">
        <v>45670.0</v>
      </c>
      <c r="B18" s="6">
        <v>1.0</v>
      </c>
      <c r="D18" s="6">
        <v>8.0</v>
      </c>
      <c r="E18" s="9">
        <f>39.57+200</f>
        <v>239.57</v>
      </c>
      <c r="F18" s="6">
        <v>1.0</v>
      </c>
      <c r="G18" s="10">
        <v>100.71</v>
      </c>
      <c r="H18" s="8">
        <v>21.5</v>
      </c>
      <c r="I18" s="6">
        <v>2183.2</v>
      </c>
      <c r="J18" s="9">
        <f t="shared" si="1"/>
        <v>2167.9176</v>
      </c>
      <c r="K18" s="9">
        <f>AVERAGE(J18:J19)</f>
        <v>2167.27215</v>
      </c>
    </row>
    <row r="19">
      <c r="A19" s="5">
        <v>45670.0</v>
      </c>
      <c r="B19" s="6">
        <v>1.0</v>
      </c>
      <c r="D19" s="6">
        <v>8.0</v>
      </c>
      <c r="F19" s="6">
        <v>2.0</v>
      </c>
      <c r="G19" s="10">
        <v>100.21</v>
      </c>
      <c r="H19" s="8">
        <v>21.4</v>
      </c>
      <c r="I19" s="6">
        <v>2181.9</v>
      </c>
      <c r="J19" s="9">
        <f t="shared" si="1"/>
        <v>2166.6267</v>
      </c>
      <c r="M19" s="11">
        <f>SUM(G18:G19)</f>
        <v>200.92</v>
      </c>
    </row>
    <row r="20">
      <c r="A20" s="5">
        <v>45670.0</v>
      </c>
      <c r="B20" s="6">
        <v>1.0</v>
      </c>
      <c r="D20" s="6">
        <v>9.0</v>
      </c>
      <c r="E20" s="9">
        <f>40.27+200</f>
        <v>240.27</v>
      </c>
      <c r="F20" s="6">
        <v>1.0</v>
      </c>
      <c r="G20" s="10">
        <v>100.74</v>
      </c>
      <c r="H20" s="8">
        <v>21.3</v>
      </c>
      <c r="I20" s="6">
        <v>2178.4</v>
      </c>
      <c r="J20" s="9">
        <f t="shared" si="1"/>
        <v>2163.1512</v>
      </c>
      <c r="K20" s="9">
        <f>AVERAGE(J20:J21)</f>
        <v>2161.0659</v>
      </c>
    </row>
    <row r="21">
      <c r="A21" s="5">
        <v>45670.0</v>
      </c>
      <c r="B21" s="6">
        <v>1.0</v>
      </c>
      <c r="D21" s="6">
        <v>9.0</v>
      </c>
      <c r="F21" s="6">
        <v>2.0</v>
      </c>
      <c r="G21" s="10">
        <v>100.45</v>
      </c>
      <c r="H21" s="8">
        <v>21.4</v>
      </c>
      <c r="I21" s="6">
        <v>2174.2</v>
      </c>
      <c r="J21" s="9">
        <f t="shared" si="1"/>
        <v>2158.9806</v>
      </c>
      <c r="L21" s="6" t="s">
        <v>14</v>
      </c>
      <c r="M21" s="11">
        <f>SUM(G20:G21)</f>
        <v>201.19</v>
      </c>
    </row>
    <row r="22">
      <c r="A22" s="5">
        <v>45670.0</v>
      </c>
      <c r="B22" s="6">
        <v>1.0</v>
      </c>
      <c r="D22" s="6">
        <v>10.0</v>
      </c>
      <c r="E22" s="9">
        <f>46.89+200</f>
        <v>246.89</v>
      </c>
      <c r="F22" s="6">
        <v>1.0</v>
      </c>
      <c r="G22" s="10">
        <v>100.12</v>
      </c>
      <c r="H22" s="8">
        <v>21.3</v>
      </c>
      <c r="I22" s="6">
        <v>2200.4</v>
      </c>
      <c r="J22" s="9">
        <f t="shared" si="1"/>
        <v>2184.9972</v>
      </c>
      <c r="K22" s="9">
        <f>AVERAGE(J22:J23)</f>
        <v>2187.9762</v>
      </c>
    </row>
    <row r="23">
      <c r="A23" s="5">
        <v>45670.0</v>
      </c>
      <c r="B23" s="6">
        <v>1.0</v>
      </c>
      <c r="D23" s="6">
        <v>10.0</v>
      </c>
      <c r="F23" s="6">
        <v>2.0</v>
      </c>
      <c r="G23" s="10">
        <v>100.12</v>
      </c>
      <c r="H23" s="8">
        <v>21.3</v>
      </c>
      <c r="I23" s="6">
        <v>2206.4</v>
      </c>
      <c r="J23" s="9">
        <f t="shared" si="1"/>
        <v>2190.9552</v>
      </c>
      <c r="M23" s="11">
        <f>SUM(G22:G23)</f>
        <v>200.24</v>
      </c>
    </row>
    <row r="24">
      <c r="A24" s="5">
        <v>45670.0</v>
      </c>
      <c r="B24" s="6">
        <v>1.0</v>
      </c>
      <c r="D24" s="6">
        <v>11.0</v>
      </c>
      <c r="E24" s="9">
        <f>39.84+200</f>
        <v>239.84</v>
      </c>
      <c r="F24" s="6">
        <v>1.0</v>
      </c>
      <c r="G24" s="10">
        <v>100.08</v>
      </c>
      <c r="H24" s="8">
        <v>21.4</v>
      </c>
      <c r="I24" s="6">
        <v>2189.5</v>
      </c>
      <c r="J24" s="9">
        <f t="shared" si="1"/>
        <v>2174.1735</v>
      </c>
      <c r="K24" s="9">
        <f>AVERAGE(J24:J25)</f>
        <v>2171.54205</v>
      </c>
    </row>
    <row r="25">
      <c r="A25" s="5">
        <v>45670.0</v>
      </c>
      <c r="B25" s="6">
        <v>1.0</v>
      </c>
      <c r="D25" s="6">
        <v>11.0</v>
      </c>
      <c r="F25" s="6">
        <v>2.0</v>
      </c>
      <c r="G25" s="10">
        <v>100.58</v>
      </c>
      <c r="H25" s="8">
        <v>21.2</v>
      </c>
      <c r="I25" s="6">
        <v>2184.2</v>
      </c>
      <c r="J25" s="9">
        <f t="shared" si="1"/>
        <v>2168.9106</v>
      </c>
      <c r="M25" s="11">
        <f>SUM(G24:G25)</f>
        <v>200.66</v>
      </c>
    </row>
    <row r="26">
      <c r="A26" s="5">
        <v>45670.0</v>
      </c>
      <c r="B26" s="6">
        <v>1.0</v>
      </c>
      <c r="D26" s="6">
        <v>12.0</v>
      </c>
      <c r="E26" s="9">
        <f>42.44+200</f>
        <v>242.44</v>
      </c>
      <c r="F26" s="6">
        <v>1.0</v>
      </c>
      <c r="G26" s="10">
        <v>100.54</v>
      </c>
      <c r="H26" s="8">
        <v>21.4</v>
      </c>
      <c r="I26" s="6">
        <v>2216.6</v>
      </c>
      <c r="K26" s="9">
        <f>AVERAGE(J26:J27)</f>
        <v>2186.7846</v>
      </c>
      <c r="L26" s="6" t="s">
        <v>15</v>
      </c>
    </row>
    <row r="27">
      <c r="A27" s="5">
        <v>45670.0</v>
      </c>
      <c r="B27" s="6">
        <v>1.0</v>
      </c>
      <c r="D27" s="6">
        <v>12.0</v>
      </c>
      <c r="F27" s="6">
        <v>2.0</v>
      </c>
      <c r="G27" s="10">
        <v>100.1</v>
      </c>
      <c r="H27" s="8">
        <v>21.3</v>
      </c>
      <c r="I27" s="6">
        <v>2202.2</v>
      </c>
      <c r="J27" s="9">
        <f t="shared" ref="J27:J215" si="2">I27*0.993</f>
        <v>2186.7846</v>
      </c>
      <c r="M27" s="11">
        <f>SUM(G26:G27)</f>
        <v>200.64</v>
      </c>
    </row>
    <row r="28">
      <c r="A28" s="5">
        <v>45670.0</v>
      </c>
      <c r="B28" s="6">
        <v>1.0</v>
      </c>
      <c r="D28" s="6">
        <v>13.0</v>
      </c>
      <c r="E28" s="9">
        <f>26.72+200</f>
        <v>226.72</v>
      </c>
      <c r="F28" s="6">
        <v>1.0</v>
      </c>
      <c r="G28" s="10">
        <v>100.08</v>
      </c>
      <c r="H28" s="8">
        <v>21.3</v>
      </c>
      <c r="I28" s="6">
        <v>2206.9</v>
      </c>
      <c r="J28" s="9">
        <f t="shared" si="2"/>
        <v>2191.4517</v>
      </c>
      <c r="K28" s="9">
        <f>AVERAGE(J28:J29)</f>
        <v>2189.3664</v>
      </c>
    </row>
    <row r="29">
      <c r="A29" s="5">
        <v>45670.0</v>
      </c>
      <c r="B29" s="6">
        <v>1.0</v>
      </c>
      <c r="D29" s="6">
        <v>13.0</v>
      </c>
      <c r="F29" s="6">
        <v>2.0</v>
      </c>
      <c r="G29" s="10">
        <v>100.37</v>
      </c>
      <c r="H29" s="8">
        <v>21.2</v>
      </c>
      <c r="I29" s="6">
        <v>2202.7</v>
      </c>
      <c r="J29" s="9">
        <f t="shared" si="2"/>
        <v>2187.2811</v>
      </c>
      <c r="M29" s="11">
        <f>SUM(G28:G29)</f>
        <v>200.45</v>
      </c>
    </row>
    <row r="30">
      <c r="A30" s="5">
        <v>45670.0</v>
      </c>
      <c r="B30" s="6">
        <v>1.0</v>
      </c>
      <c r="D30" s="1">
        <v>14.0</v>
      </c>
      <c r="F30" s="6">
        <v>1.0</v>
      </c>
      <c r="G30" s="10">
        <v>100.36</v>
      </c>
      <c r="H30" s="8">
        <v>21.2</v>
      </c>
      <c r="I30" s="6">
        <v>2202.8</v>
      </c>
      <c r="J30" s="9">
        <f t="shared" si="2"/>
        <v>2187.3804</v>
      </c>
      <c r="K30" s="9">
        <f>AVERAGE(J30:J31)</f>
        <v>2188.2741</v>
      </c>
    </row>
    <row r="31">
      <c r="A31" s="5">
        <v>45670.0</v>
      </c>
      <c r="B31" s="6">
        <v>1.0</v>
      </c>
      <c r="D31" s="1">
        <v>14.0</v>
      </c>
      <c r="F31" s="6">
        <v>2.0</v>
      </c>
      <c r="G31" s="10">
        <v>100.45</v>
      </c>
      <c r="H31" s="8">
        <v>21.2</v>
      </c>
      <c r="I31" s="6">
        <v>2204.6</v>
      </c>
      <c r="J31" s="9">
        <f t="shared" si="2"/>
        <v>2189.1678</v>
      </c>
      <c r="M31" s="11">
        <f>SUM(G30:G31)</f>
        <v>200.81</v>
      </c>
    </row>
    <row r="32">
      <c r="A32" s="5">
        <v>45670.0</v>
      </c>
      <c r="B32" s="6">
        <v>1.0</v>
      </c>
      <c r="D32" s="6">
        <v>15.0</v>
      </c>
      <c r="E32" s="9">
        <f>43.46+200</f>
        <v>243.46</v>
      </c>
      <c r="F32" s="6">
        <v>1.0</v>
      </c>
      <c r="G32" s="10">
        <v>100.63</v>
      </c>
      <c r="H32" s="8">
        <v>21.3</v>
      </c>
      <c r="I32" s="6">
        <v>2154.5</v>
      </c>
      <c r="J32" s="9">
        <f t="shared" si="2"/>
        <v>2139.4185</v>
      </c>
      <c r="K32" s="9">
        <f>AVERAGE(J32:J33)</f>
        <v>2162.6547</v>
      </c>
      <c r="L32" s="6" t="s">
        <v>16</v>
      </c>
    </row>
    <row r="33">
      <c r="A33" s="5">
        <v>45670.0</v>
      </c>
      <c r="B33" s="6">
        <v>1.0</v>
      </c>
      <c r="D33" s="6">
        <v>15.0</v>
      </c>
      <c r="F33" s="6">
        <v>2.0</v>
      </c>
      <c r="G33" s="10">
        <v>100.77</v>
      </c>
      <c r="H33" s="8">
        <v>21.2</v>
      </c>
      <c r="I33" s="6">
        <v>2201.3</v>
      </c>
      <c r="J33" s="9">
        <f t="shared" si="2"/>
        <v>2185.8909</v>
      </c>
      <c r="M33" s="11">
        <f>SUM(G32:G33)</f>
        <v>201.4</v>
      </c>
    </row>
    <row r="34">
      <c r="A34" s="5">
        <v>45670.0</v>
      </c>
      <c r="B34" s="6">
        <v>1.0</v>
      </c>
      <c r="D34" s="6">
        <v>16.0</v>
      </c>
      <c r="E34" s="9">
        <f>42.96+200</f>
        <v>242.96</v>
      </c>
      <c r="F34" s="6">
        <v>1.0</v>
      </c>
      <c r="G34" s="10">
        <v>100.38</v>
      </c>
      <c r="H34" s="8">
        <v>21.3</v>
      </c>
      <c r="I34" s="6">
        <v>2193.7</v>
      </c>
      <c r="J34" s="9">
        <f t="shared" si="2"/>
        <v>2178.3441</v>
      </c>
      <c r="K34" s="9">
        <f>AVERAGE(J34:J35)</f>
        <v>2176.3581</v>
      </c>
    </row>
    <row r="35">
      <c r="A35" s="5">
        <v>45670.0</v>
      </c>
      <c r="B35" s="6">
        <v>1.0</v>
      </c>
      <c r="D35" s="6">
        <v>16.0</v>
      </c>
      <c r="F35" s="6">
        <v>2.0</v>
      </c>
      <c r="G35" s="10">
        <v>100.77</v>
      </c>
      <c r="H35" s="8">
        <v>21.2</v>
      </c>
      <c r="I35" s="6">
        <v>2189.7</v>
      </c>
      <c r="J35" s="9">
        <f t="shared" si="2"/>
        <v>2174.3721</v>
      </c>
      <c r="M35" s="11">
        <f>SUM(G34:G35)</f>
        <v>201.15</v>
      </c>
    </row>
    <row r="36">
      <c r="A36" s="5">
        <v>45670.0</v>
      </c>
      <c r="B36" s="6">
        <v>1.0</v>
      </c>
      <c r="D36" s="6">
        <v>17.0</v>
      </c>
      <c r="E36" s="9">
        <f>40.49+200</f>
        <v>240.49</v>
      </c>
      <c r="F36" s="6">
        <v>1.0</v>
      </c>
      <c r="G36" s="10">
        <v>100.16</v>
      </c>
      <c r="H36" s="8">
        <v>21.4</v>
      </c>
      <c r="I36" s="6">
        <v>2197.4</v>
      </c>
      <c r="J36" s="9">
        <f t="shared" si="2"/>
        <v>2182.0182</v>
      </c>
      <c r="K36" s="9">
        <f>AVERAGE(J36:J37)</f>
        <v>2182.26645</v>
      </c>
    </row>
    <row r="37">
      <c r="A37" s="5">
        <v>45670.0</v>
      </c>
      <c r="B37" s="6">
        <v>1.0</v>
      </c>
      <c r="D37" s="6">
        <v>17.0</v>
      </c>
      <c r="F37" s="6">
        <v>2.0</v>
      </c>
      <c r="G37" s="10">
        <v>100.01</v>
      </c>
      <c r="H37" s="8">
        <v>21.3</v>
      </c>
      <c r="I37" s="6">
        <v>2197.9</v>
      </c>
      <c r="J37" s="9">
        <f t="shared" si="2"/>
        <v>2182.5147</v>
      </c>
      <c r="M37" s="11">
        <f>SUM(G36:G37)</f>
        <v>200.17</v>
      </c>
    </row>
    <row r="38">
      <c r="A38" s="5">
        <v>45670.0</v>
      </c>
      <c r="B38" s="6">
        <v>1.0</v>
      </c>
      <c r="D38" s="6">
        <v>18.0</v>
      </c>
      <c r="E38" s="9">
        <f>49.68+200</f>
        <v>249.68</v>
      </c>
      <c r="F38" s="6">
        <v>1.0</v>
      </c>
      <c r="G38" s="10">
        <v>100.05</v>
      </c>
      <c r="H38" s="8">
        <v>21.3</v>
      </c>
      <c r="I38" s="6">
        <v>2188.3</v>
      </c>
      <c r="J38" s="9">
        <f t="shared" si="2"/>
        <v>2172.9819</v>
      </c>
      <c r="K38" s="9">
        <f>AVERAGE(J38:J39)</f>
        <v>2176.30845</v>
      </c>
    </row>
    <row r="39">
      <c r="A39" s="5">
        <v>45670.0</v>
      </c>
      <c r="B39" s="6">
        <v>1.0</v>
      </c>
      <c r="D39" s="6">
        <v>18.0</v>
      </c>
      <c r="F39" s="6">
        <v>2.0</v>
      </c>
      <c r="G39" s="10">
        <v>100.35</v>
      </c>
      <c r="H39" s="8">
        <v>21.3</v>
      </c>
      <c r="I39" s="6">
        <v>2195.0</v>
      </c>
      <c r="J39" s="9">
        <f t="shared" si="2"/>
        <v>2179.635</v>
      </c>
      <c r="M39" s="11">
        <f>SUM(G38:G39)</f>
        <v>200.4</v>
      </c>
    </row>
    <row r="40">
      <c r="A40" s="5">
        <v>45670.0</v>
      </c>
      <c r="B40" s="6">
        <v>1.0</v>
      </c>
      <c r="D40" s="6">
        <v>19.0</v>
      </c>
      <c r="E40" s="9">
        <f>42.1+200</f>
        <v>242.1</v>
      </c>
      <c r="F40" s="6">
        <v>1.0</v>
      </c>
      <c r="G40" s="10">
        <v>100.35</v>
      </c>
      <c r="H40" s="8">
        <v>21.2</v>
      </c>
      <c r="I40" s="6">
        <v>2197.2</v>
      </c>
      <c r="J40" s="9">
        <f t="shared" si="2"/>
        <v>2181.8196</v>
      </c>
      <c r="K40" s="9">
        <f>AVERAGE(J40:J41)</f>
        <v>2184.3021</v>
      </c>
    </row>
    <row r="41">
      <c r="A41" s="5">
        <v>45670.0</v>
      </c>
      <c r="B41" s="6">
        <v>1.0</v>
      </c>
      <c r="D41" s="6">
        <v>19.0</v>
      </c>
      <c r="F41" s="6">
        <v>2.0</v>
      </c>
      <c r="G41" s="10">
        <v>100.59</v>
      </c>
      <c r="H41" s="8">
        <v>21.1</v>
      </c>
      <c r="I41" s="6">
        <v>2202.2</v>
      </c>
      <c r="J41" s="9">
        <f t="shared" si="2"/>
        <v>2186.7846</v>
      </c>
      <c r="M41" s="11">
        <f>SUM(G40:G41)</f>
        <v>200.94</v>
      </c>
    </row>
    <row r="42">
      <c r="A42" s="5">
        <v>45670.0</v>
      </c>
      <c r="B42" s="6">
        <v>1.0</v>
      </c>
      <c r="D42" s="6">
        <v>20.0</v>
      </c>
      <c r="E42" s="9">
        <f>42.23+200</f>
        <v>242.23</v>
      </c>
      <c r="F42" s="6">
        <v>1.0</v>
      </c>
      <c r="G42" s="10">
        <v>100.41</v>
      </c>
      <c r="H42" s="8">
        <v>21.2</v>
      </c>
      <c r="I42" s="6">
        <v>2198.6</v>
      </c>
      <c r="J42" s="9">
        <f t="shared" si="2"/>
        <v>2183.2098</v>
      </c>
      <c r="K42" s="9">
        <f>AVERAGE(J42:J43)</f>
        <v>2183.35875</v>
      </c>
    </row>
    <row r="43">
      <c r="A43" s="5">
        <v>45670.0</v>
      </c>
      <c r="B43" s="6">
        <v>1.0</v>
      </c>
      <c r="D43" s="6">
        <v>20.0</v>
      </c>
      <c r="F43" s="6">
        <v>2.0</v>
      </c>
      <c r="G43" s="10">
        <v>100.08</v>
      </c>
      <c r="H43" s="8">
        <v>21.2</v>
      </c>
      <c r="I43" s="6">
        <v>2198.9</v>
      </c>
      <c r="J43" s="9">
        <f t="shared" si="2"/>
        <v>2183.5077</v>
      </c>
      <c r="M43" s="11">
        <f>SUM(G42:G43)</f>
        <v>200.49</v>
      </c>
    </row>
    <row r="44">
      <c r="A44" s="5">
        <v>45670.0</v>
      </c>
      <c r="B44" s="6">
        <v>1.0</v>
      </c>
      <c r="D44" s="6">
        <v>21.0</v>
      </c>
      <c r="E44" s="9">
        <f>41.23+200</f>
        <v>241.23</v>
      </c>
      <c r="F44" s="6">
        <v>1.0</v>
      </c>
      <c r="G44" s="10">
        <v>100.46</v>
      </c>
      <c r="H44" s="8">
        <v>21.2</v>
      </c>
      <c r="I44" s="6">
        <v>2202.3</v>
      </c>
      <c r="J44" s="9">
        <f t="shared" si="2"/>
        <v>2186.8839</v>
      </c>
      <c r="K44" s="9">
        <f>AVERAGE(J44:J45)</f>
        <v>2182.8126</v>
      </c>
    </row>
    <row r="45">
      <c r="A45" s="5">
        <v>45670.0</v>
      </c>
      <c r="B45" s="6">
        <v>1.0</v>
      </c>
      <c r="D45" s="6">
        <v>21.0</v>
      </c>
      <c r="F45" s="6">
        <v>2.0</v>
      </c>
      <c r="G45" s="10">
        <v>100.04</v>
      </c>
      <c r="H45" s="8">
        <v>21.1</v>
      </c>
      <c r="I45" s="6">
        <v>2194.1</v>
      </c>
      <c r="J45" s="9">
        <f t="shared" si="2"/>
        <v>2178.7413</v>
      </c>
      <c r="M45" s="11">
        <f>SUM(G44:G45)</f>
        <v>200.5</v>
      </c>
    </row>
    <row r="46">
      <c r="A46" s="5">
        <v>45670.0</v>
      </c>
      <c r="B46" s="6">
        <v>1.0</v>
      </c>
      <c r="D46" s="6">
        <v>22.0</v>
      </c>
      <c r="E46" s="9">
        <f>42.79+200</f>
        <v>242.79</v>
      </c>
      <c r="F46" s="6">
        <v>1.0</v>
      </c>
      <c r="G46" s="10">
        <v>100.08</v>
      </c>
      <c r="H46" s="8">
        <v>21.3</v>
      </c>
      <c r="I46" s="6">
        <v>2188.5</v>
      </c>
      <c r="J46" s="9">
        <f t="shared" si="2"/>
        <v>2173.1805</v>
      </c>
      <c r="K46" s="9">
        <f>AVERAGE(J46:J47)</f>
        <v>2174.67</v>
      </c>
    </row>
    <row r="47">
      <c r="A47" s="5">
        <v>45670.0</v>
      </c>
      <c r="B47" s="6">
        <v>1.0</v>
      </c>
      <c r="D47" s="6">
        <v>22.0</v>
      </c>
      <c r="F47" s="6">
        <v>2.0</v>
      </c>
      <c r="G47" s="10">
        <v>100.85</v>
      </c>
      <c r="H47" s="8">
        <v>21.2</v>
      </c>
      <c r="I47" s="6">
        <v>2191.5</v>
      </c>
      <c r="J47" s="9">
        <f t="shared" si="2"/>
        <v>2176.1595</v>
      </c>
      <c r="M47" s="11">
        <f>SUM(G46:G47)</f>
        <v>200.93</v>
      </c>
    </row>
    <row r="48">
      <c r="A48" s="5">
        <v>45670.0</v>
      </c>
      <c r="B48" s="6">
        <v>1.0</v>
      </c>
      <c r="D48" s="12">
        <v>23.0</v>
      </c>
      <c r="E48" s="9">
        <f>46.72+200</f>
        <v>246.72</v>
      </c>
      <c r="F48" s="6">
        <v>1.0</v>
      </c>
      <c r="G48" s="10">
        <v>100.4</v>
      </c>
      <c r="H48" s="8">
        <v>21.1</v>
      </c>
      <c r="I48" s="6">
        <v>2207.2</v>
      </c>
      <c r="J48" s="9">
        <f t="shared" si="2"/>
        <v>2191.7496</v>
      </c>
      <c r="K48" s="9">
        <f>AVERAGE(J48:J49)</f>
        <v>2190.1608</v>
      </c>
      <c r="L48" s="6" t="s">
        <v>17</v>
      </c>
    </row>
    <row r="49">
      <c r="A49" s="5">
        <v>45670.0</v>
      </c>
      <c r="B49" s="6">
        <v>1.0</v>
      </c>
      <c r="D49" s="12">
        <v>23.0</v>
      </c>
      <c r="F49" s="6">
        <v>2.0</v>
      </c>
      <c r="G49" s="10">
        <v>100.32</v>
      </c>
      <c r="H49" s="8">
        <v>21.0</v>
      </c>
      <c r="I49" s="6">
        <v>2204.0</v>
      </c>
      <c r="J49" s="9">
        <f t="shared" si="2"/>
        <v>2188.572</v>
      </c>
      <c r="M49" s="11">
        <f>SUM(G48:G49)</f>
        <v>200.72</v>
      </c>
    </row>
    <row r="50">
      <c r="A50" s="5">
        <v>45670.0</v>
      </c>
      <c r="B50" s="6">
        <v>1.0</v>
      </c>
      <c r="D50" s="6">
        <v>24.0</v>
      </c>
      <c r="E50" s="9">
        <f>41.46+200</f>
        <v>241.46</v>
      </c>
      <c r="F50" s="6">
        <v>1.0</v>
      </c>
      <c r="G50" s="10">
        <v>100.02</v>
      </c>
      <c r="H50" s="8">
        <v>21.1</v>
      </c>
      <c r="I50" s="6">
        <v>2199.1</v>
      </c>
      <c r="J50" s="9">
        <f t="shared" si="2"/>
        <v>2183.7063</v>
      </c>
      <c r="K50" s="9">
        <f>AVERAGE(J50:J51)</f>
        <v>2183.06085</v>
      </c>
    </row>
    <row r="51">
      <c r="A51" s="5">
        <v>45670.0</v>
      </c>
      <c r="B51" s="6">
        <v>1.0</v>
      </c>
      <c r="D51" s="6">
        <v>24.0</v>
      </c>
      <c r="F51" s="6">
        <v>2.0</v>
      </c>
      <c r="G51" s="10">
        <v>100.53</v>
      </c>
      <c r="H51" s="8">
        <v>21.1</v>
      </c>
      <c r="I51" s="6">
        <v>2197.8</v>
      </c>
      <c r="J51" s="9">
        <f t="shared" si="2"/>
        <v>2182.4154</v>
      </c>
      <c r="M51" s="11">
        <f>SUM(G50:G51)</f>
        <v>200.55</v>
      </c>
    </row>
    <row r="52">
      <c r="A52" s="5">
        <v>45670.0</v>
      </c>
      <c r="B52" s="6">
        <v>1.0</v>
      </c>
      <c r="D52" s="6">
        <v>25.0</v>
      </c>
      <c r="E52" s="9">
        <f>41.92+200</f>
        <v>241.92</v>
      </c>
      <c r="F52" s="6">
        <v>1.0</v>
      </c>
      <c r="G52" s="10">
        <v>100.41</v>
      </c>
      <c r="H52" s="8">
        <v>21.2</v>
      </c>
      <c r="I52" s="6">
        <v>2199.9</v>
      </c>
      <c r="J52" s="9">
        <f t="shared" si="2"/>
        <v>2184.5007</v>
      </c>
      <c r="K52" s="9">
        <f>AVERAGE(J52:J53)</f>
        <v>2186.43705</v>
      </c>
    </row>
    <row r="53">
      <c r="A53" s="5">
        <v>45670.0</v>
      </c>
      <c r="B53" s="6">
        <v>1.0</v>
      </c>
      <c r="D53" s="6">
        <v>25.0</v>
      </c>
      <c r="F53" s="6">
        <v>2.0</v>
      </c>
      <c r="G53" s="10">
        <v>100.73</v>
      </c>
      <c r="H53" s="8">
        <v>21.0</v>
      </c>
      <c r="I53" s="6">
        <v>2203.8</v>
      </c>
      <c r="J53" s="9">
        <f t="shared" si="2"/>
        <v>2188.3734</v>
      </c>
      <c r="M53" s="11">
        <f>SUM(G52:G53)</f>
        <v>201.14</v>
      </c>
    </row>
    <row r="54">
      <c r="A54" s="5">
        <v>45670.0</v>
      </c>
      <c r="B54" s="6">
        <v>1.0</v>
      </c>
      <c r="D54" s="6">
        <v>26.0</v>
      </c>
      <c r="E54" s="9">
        <f>22.93+200</f>
        <v>222.93</v>
      </c>
      <c r="F54" s="6">
        <v>1.0</v>
      </c>
      <c r="G54" s="10">
        <v>100.65</v>
      </c>
      <c r="H54" s="8">
        <v>21.1</v>
      </c>
      <c r="I54" s="6">
        <v>2213.7</v>
      </c>
      <c r="J54" s="9">
        <f t="shared" si="2"/>
        <v>2198.2041</v>
      </c>
      <c r="K54" s="9">
        <f>AVERAGE(J54:J55)</f>
        <v>2194.8279</v>
      </c>
    </row>
    <row r="55">
      <c r="A55" s="5">
        <v>45670.0</v>
      </c>
      <c r="B55" s="6">
        <v>1.0</v>
      </c>
      <c r="D55" s="6">
        <v>26.0</v>
      </c>
      <c r="F55" s="6">
        <v>2.0</v>
      </c>
      <c r="G55" s="10">
        <v>100.27</v>
      </c>
      <c r="H55" s="8">
        <v>20.9</v>
      </c>
      <c r="I55" s="6">
        <v>2206.9</v>
      </c>
      <c r="J55" s="9">
        <f t="shared" si="2"/>
        <v>2191.4517</v>
      </c>
      <c r="M55" s="11">
        <f>SUM(G54:G55)</f>
        <v>200.92</v>
      </c>
    </row>
    <row r="56">
      <c r="A56" s="5">
        <v>45670.0</v>
      </c>
      <c r="B56" s="6">
        <v>2.0</v>
      </c>
      <c r="D56" s="1">
        <v>27.0</v>
      </c>
      <c r="F56" s="6">
        <v>1.0</v>
      </c>
      <c r="G56" s="10">
        <v>100.44</v>
      </c>
      <c r="H56" s="8">
        <v>21.2</v>
      </c>
      <c r="I56" s="8">
        <v>2202.3</v>
      </c>
      <c r="J56" s="9">
        <f t="shared" si="2"/>
        <v>2186.8839</v>
      </c>
      <c r="K56" s="9">
        <f>AVERAGE(J56:J57)</f>
        <v>2186.4867</v>
      </c>
    </row>
    <row r="57">
      <c r="A57" s="5">
        <v>45670.0</v>
      </c>
      <c r="B57" s="6">
        <v>2.0</v>
      </c>
      <c r="D57" s="1">
        <v>27.0</v>
      </c>
      <c r="F57" s="6">
        <v>2.0</v>
      </c>
      <c r="G57" s="10">
        <v>100.81</v>
      </c>
      <c r="H57" s="8">
        <v>21.0</v>
      </c>
      <c r="I57" s="6">
        <v>2201.5</v>
      </c>
      <c r="J57" s="9">
        <f t="shared" si="2"/>
        <v>2186.0895</v>
      </c>
      <c r="M57" s="11">
        <f>SUM(G56:G57)</f>
        <v>201.25</v>
      </c>
    </row>
    <row r="58">
      <c r="A58" s="5">
        <v>45670.0</v>
      </c>
      <c r="B58" s="6">
        <v>2.0</v>
      </c>
      <c r="D58" s="6">
        <v>28.0</v>
      </c>
      <c r="E58" s="9">
        <f>46.28+200</f>
        <v>246.28</v>
      </c>
      <c r="F58" s="6">
        <v>1.0</v>
      </c>
      <c r="G58" s="10">
        <v>100.37</v>
      </c>
      <c r="H58" s="8">
        <v>21.1</v>
      </c>
      <c r="I58" s="6">
        <v>2197.6</v>
      </c>
      <c r="J58" s="9">
        <f t="shared" si="2"/>
        <v>2182.2168</v>
      </c>
      <c r="K58" s="9">
        <f>AVERAGE(J58:J59)</f>
        <v>2183.75595</v>
      </c>
    </row>
    <row r="59">
      <c r="A59" s="5">
        <v>45670.0</v>
      </c>
      <c r="B59" s="6">
        <v>2.0</v>
      </c>
      <c r="D59" s="6">
        <v>28.0</v>
      </c>
      <c r="F59" s="6">
        <v>2.0</v>
      </c>
      <c r="G59" s="10">
        <v>100.02</v>
      </c>
      <c r="H59" s="8">
        <v>21.0</v>
      </c>
      <c r="I59" s="6">
        <v>2200.7</v>
      </c>
      <c r="J59" s="9">
        <f t="shared" si="2"/>
        <v>2185.2951</v>
      </c>
      <c r="M59" s="11">
        <f>SUM(G58:G59)</f>
        <v>200.39</v>
      </c>
    </row>
    <row r="60">
      <c r="A60" s="5">
        <v>45670.0</v>
      </c>
      <c r="B60" s="6">
        <v>2.0</v>
      </c>
      <c r="D60" s="6">
        <v>29.0</v>
      </c>
      <c r="E60" s="9">
        <f>43.11+200</f>
        <v>243.11</v>
      </c>
      <c r="F60" s="6">
        <v>1.0</v>
      </c>
      <c r="G60" s="10">
        <v>100.75</v>
      </c>
      <c r="H60" s="8">
        <v>21.2</v>
      </c>
      <c r="I60" s="6">
        <v>2199.6</v>
      </c>
      <c r="J60" s="9">
        <f t="shared" si="2"/>
        <v>2184.2028</v>
      </c>
      <c r="K60" s="9">
        <f>AVERAGE(J60:J61)</f>
        <v>2179.7343</v>
      </c>
    </row>
    <row r="61">
      <c r="A61" s="5">
        <v>45670.0</v>
      </c>
      <c r="B61" s="6">
        <v>2.0</v>
      </c>
      <c r="D61" s="6">
        <v>29.0</v>
      </c>
      <c r="F61" s="6">
        <v>2.0</v>
      </c>
      <c r="G61" s="10">
        <v>100.5</v>
      </c>
      <c r="H61" s="8">
        <v>21.2</v>
      </c>
      <c r="I61" s="6">
        <v>2190.6</v>
      </c>
      <c r="J61" s="9">
        <f t="shared" si="2"/>
        <v>2175.2658</v>
      </c>
      <c r="M61" s="11">
        <f>SUM(G60:G61)</f>
        <v>201.25</v>
      </c>
    </row>
    <row r="62">
      <c r="A62" s="5">
        <v>45670.0</v>
      </c>
      <c r="B62" s="6">
        <v>2.0</v>
      </c>
      <c r="D62" s="6">
        <v>30.0</v>
      </c>
      <c r="E62" s="9">
        <f>36.18+200</f>
        <v>236.18</v>
      </c>
      <c r="F62" s="6">
        <v>1.0</v>
      </c>
      <c r="G62" s="10">
        <v>100.24</v>
      </c>
      <c r="H62" s="8">
        <v>21.3</v>
      </c>
      <c r="I62" s="6">
        <v>2164.7</v>
      </c>
      <c r="J62" s="9">
        <f t="shared" si="2"/>
        <v>2149.5471</v>
      </c>
      <c r="K62" s="9">
        <f>AVERAGE(J62:J63)</f>
        <v>2146.0716</v>
      </c>
    </row>
    <row r="63">
      <c r="A63" s="5">
        <v>45670.0</v>
      </c>
      <c r="B63" s="6">
        <v>2.0</v>
      </c>
      <c r="D63" s="6">
        <v>30.0</v>
      </c>
      <c r="F63" s="6">
        <v>2.0</v>
      </c>
      <c r="G63" s="10">
        <v>100.86</v>
      </c>
      <c r="H63" s="8">
        <v>21.2</v>
      </c>
      <c r="I63" s="6">
        <v>2157.7</v>
      </c>
      <c r="J63" s="9">
        <f t="shared" si="2"/>
        <v>2142.5961</v>
      </c>
      <c r="M63" s="11">
        <f>SUM(G62:G63)</f>
        <v>201.1</v>
      </c>
    </row>
    <row r="64">
      <c r="A64" s="5">
        <v>45670.0</v>
      </c>
      <c r="B64" s="6">
        <v>2.0</v>
      </c>
      <c r="D64" s="6">
        <v>31.0</v>
      </c>
      <c r="E64" s="9">
        <f>43+200</f>
        <v>243</v>
      </c>
      <c r="F64" s="6">
        <v>1.0</v>
      </c>
      <c r="G64" s="10">
        <v>100.01</v>
      </c>
      <c r="H64" s="8">
        <v>21.5</v>
      </c>
      <c r="I64" s="6">
        <v>2191.5</v>
      </c>
      <c r="J64" s="9">
        <f t="shared" si="2"/>
        <v>2176.1595</v>
      </c>
      <c r="K64" s="9">
        <f>AVERAGE(J64:J65)</f>
        <v>2174.4714</v>
      </c>
    </row>
    <row r="65">
      <c r="A65" s="5">
        <v>45670.0</v>
      </c>
      <c r="B65" s="6">
        <v>2.0</v>
      </c>
      <c r="D65" s="6">
        <v>31.0</v>
      </c>
      <c r="F65" s="6">
        <v>2.0</v>
      </c>
      <c r="G65" s="10">
        <v>100.5</v>
      </c>
      <c r="H65" s="8">
        <v>21.4</v>
      </c>
      <c r="I65" s="6">
        <v>2188.1</v>
      </c>
      <c r="J65" s="9">
        <f t="shared" si="2"/>
        <v>2172.7833</v>
      </c>
      <c r="M65" s="11">
        <f>SUM(G64:G65)</f>
        <v>200.51</v>
      </c>
    </row>
    <row r="66">
      <c r="A66" s="5">
        <v>45670.0</v>
      </c>
      <c r="B66" s="6">
        <v>2.0</v>
      </c>
      <c r="D66" s="6">
        <v>32.0</v>
      </c>
      <c r="E66" s="9">
        <f>42.9+200</f>
        <v>242.9</v>
      </c>
      <c r="F66" s="6">
        <v>1.0</v>
      </c>
      <c r="G66" s="10">
        <v>100.45</v>
      </c>
      <c r="H66" s="8">
        <v>21.5</v>
      </c>
      <c r="I66" s="6">
        <v>2194.9</v>
      </c>
      <c r="J66" s="9">
        <f t="shared" si="2"/>
        <v>2179.5357</v>
      </c>
      <c r="K66" s="9">
        <f>AVERAGE(J66:J67)</f>
        <v>2182.66365</v>
      </c>
    </row>
    <row r="67">
      <c r="A67" s="5">
        <v>45670.0</v>
      </c>
      <c r="B67" s="6">
        <v>2.0</v>
      </c>
      <c r="D67" s="6">
        <v>32.0</v>
      </c>
      <c r="F67" s="6">
        <v>2.0</v>
      </c>
      <c r="G67" s="10">
        <v>100.45</v>
      </c>
      <c r="H67" s="8">
        <v>21.5</v>
      </c>
      <c r="I67" s="6">
        <v>2201.2</v>
      </c>
      <c r="J67" s="9">
        <f t="shared" si="2"/>
        <v>2185.7916</v>
      </c>
      <c r="M67" s="11">
        <f>SUM(G66:G67)</f>
        <v>200.9</v>
      </c>
    </row>
    <row r="68">
      <c r="A68" s="5">
        <v>45670.0</v>
      </c>
      <c r="B68" s="6">
        <v>2.0</v>
      </c>
      <c r="D68" s="6">
        <v>33.0</v>
      </c>
      <c r="E68" s="9">
        <f>37.74+200</f>
        <v>237.74</v>
      </c>
      <c r="F68" s="6">
        <v>1.0</v>
      </c>
      <c r="G68" s="10">
        <v>100.35</v>
      </c>
      <c r="H68" s="8">
        <v>21.5</v>
      </c>
      <c r="I68" s="6">
        <v>2151.3</v>
      </c>
      <c r="J68" s="9">
        <f t="shared" si="2"/>
        <v>2136.2409</v>
      </c>
      <c r="K68" s="9">
        <f>AVERAGE(J68:J69)</f>
        <v>2137.6311</v>
      </c>
    </row>
    <row r="69">
      <c r="A69" s="5">
        <v>45670.0</v>
      </c>
      <c r="B69" s="6">
        <v>2.0</v>
      </c>
      <c r="D69" s="6">
        <v>33.0</v>
      </c>
      <c r="F69" s="6">
        <v>2.0</v>
      </c>
      <c r="G69" s="10">
        <v>100.77</v>
      </c>
      <c r="H69" s="8">
        <v>21.5</v>
      </c>
      <c r="I69" s="6">
        <v>2154.1</v>
      </c>
      <c r="J69" s="9">
        <f t="shared" si="2"/>
        <v>2139.0213</v>
      </c>
      <c r="M69" s="11">
        <f>SUM(G68:G69)</f>
        <v>201.12</v>
      </c>
    </row>
    <row r="70">
      <c r="A70" s="5">
        <v>45670.0</v>
      </c>
      <c r="B70" s="6">
        <v>2.0</v>
      </c>
      <c r="D70" s="6">
        <v>34.0</v>
      </c>
      <c r="E70" s="9">
        <f>44.7+200</f>
        <v>244.7</v>
      </c>
      <c r="F70" s="6">
        <v>1.0</v>
      </c>
      <c r="G70" s="10">
        <v>100.53</v>
      </c>
      <c r="H70" s="8">
        <v>21.5</v>
      </c>
      <c r="I70" s="6">
        <v>2200.0</v>
      </c>
      <c r="J70" s="9">
        <f t="shared" si="2"/>
        <v>2184.6</v>
      </c>
      <c r="K70" s="9">
        <f>AVERAGE(J70:J71)</f>
        <v>2184.05385</v>
      </c>
    </row>
    <row r="71">
      <c r="A71" s="5">
        <v>45670.0</v>
      </c>
      <c r="B71" s="6">
        <v>2.0</v>
      </c>
      <c r="D71" s="6">
        <v>34.0</v>
      </c>
      <c r="F71" s="6">
        <v>2.0</v>
      </c>
      <c r="G71" s="10">
        <v>100.03</v>
      </c>
      <c r="H71" s="8">
        <v>21.3</v>
      </c>
      <c r="I71" s="6">
        <v>2198.9</v>
      </c>
      <c r="J71" s="9">
        <f t="shared" si="2"/>
        <v>2183.5077</v>
      </c>
      <c r="M71" s="11">
        <f>SUM(G70:G71)</f>
        <v>200.56</v>
      </c>
    </row>
    <row r="72">
      <c r="A72" s="5">
        <v>45670.0</v>
      </c>
      <c r="B72" s="6">
        <v>2.0</v>
      </c>
      <c r="D72" s="6">
        <v>35.0</v>
      </c>
      <c r="E72" s="9">
        <f>200+43.2</f>
        <v>243.2</v>
      </c>
      <c r="F72" s="6">
        <v>1.0</v>
      </c>
      <c r="G72" s="10">
        <v>100.59</v>
      </c>
      <c r="H72" s="8">
        <v>21.4</v>
      </c>
      <c r="I72" s="6">
        <v>2187.5</v>
      </c>
      <c r="J72" s="9">
        <f t="shared" si="2"/>
        <v>2172.1875</v>
      </c>
      <c r="K72" s="9">
        <f>AVERAGE(J72:J73)</f>
        <v>2174.62035</v>
      </c>
    </row>
    <row r="73">
      <c r="A73" s="5">
        <v>45670.0</v>
      </c>
      <c r="B73" s="6">
        <v>2.0</v>
      </c>
      <c r="D73" s="6">
        <v>35.0</v>
      </c>
      <c r="F73" s="6">
        <v>2.0</v>
      </c>
      <c r="G73" s="10">
        <v>100.88</v>
      </c>
      <c r="H73" s="8">
        <v>21.3</v>
      </c>
      <c r="I73" s="6">
        <v>2192.4</v>
      </c>
      <c r="J73" s="9">
        <f t="shared" si="2"/>
        <v>2177.0532</v>
      </c>
      <c r="M73" s="11">
        <f>SUM(G72:G73)</f>
        <v>201.47</v>
      </c>
    </row>
    <row r="74">
      <c r="A74" s="5">
        <v>45670.0</v>
      </c>
      <c r="B74" s="6">
        <v>2.0</v>
      </c>
      <c r="D74" s="6">
        <v>36.0</v>
      </c>
      <c r="E74" s="9">
        <f>40.08+200</f>
        <v>240.08</v>
      </c>
      <c r="F74" s="6">
        <v>1.0</v>
      </c>
      <c r="G74" s="10">
        <v>100.06</v>
      </c>
      <c r="H74" s="8">
        <v>21.2</v>
      </c>
      <c r="I74" s="6">
        <v>2162.0</v>
      </c>
      <c r="J74" s="9">
        <f t="shared" si="2"/>
        <v>2146.866</v>
      </c>
      <c r="K74" s="9">
        <f>AVERAGE(J74:J75)</f>
        <v>2146.81635</v>
      </c>
    </row>
    <row r="75">
      <c r="A75" s="5">
        <v>45670.0</v>
      </c>
      <c r="B75" s="6">
        <v>2.0</v>
      </c>
      <c r="D75" s="6">
        <v>36.0</v>
      </c>
      <c r="F75" s="6">
        <v>2.0</v>
      </c>
      <c r="G75" s="10">
        <v>100.18</v>
      </c>
      <c r="H75" s="8">
        <v>21.1</v>
      </c>
      <c r="I75" s="6">
        <v>2161.9</v>
      </c>
      <c r="J75" s="9">
        <f t="shared" si="2"/>
        <v>2146.7667</v>
      </c>
      <c r="M75" s="11">
        <f>SUM(G74:G75)</f>
        <v>200.24</v>
      </c>
    </row>
    <row r="76">
      <c r="A76" s="5">
        <v>45670.0</v>
      </c>
      <c r="B76" s="6">
        <v>2.0</v>
      </c>
      <c r="D76" s="6">
        <v>37.0</v>
      </c>
      <c r="E76" s="9">
        <f>39.81+200</f>
        <v>239.81</v>
      </c>
      <c r="F76" s="6">
        <v>1.0</v>
      </c>
      <c r="G76" s="10">
        <v>100.31</v>
      </c>
      <c r="H76" s="8">
        <v>21.3</v>
      </c>
      <c r="I76" s="6">
        <v>2188.6</v>
      </c>
      <c r="J76" s="9">
        <f t="shared" si="2"/>
        <v>2173.2798</v>
      </c>
      <c r="K76" s="9">
        <f>AVERAGE(J76:J77)</f>
        <v>2176.90425</v>
      </c>
    </row>
    <row r="77">
      <c r="A77" s="5">
        <v>45670.0</v>
      </c>
      <c r="B77" s="6">
        <v>2.0</v>
      </c>
      <c r="D77" s="6">
        <v>37.0</v>
      </c>
      <c r="F77" s="6">
        <v>2.0</v>
      </c>
      <c r="G77" s="10">
        <v>100.72</v>
      </c>
      <c r="H77" s="8">
        <v>21.3</v>
      </c>
      <c r="I77" s="6">
        <v>2195.9</v>
      </c>
      <c r="J77" s="9">
        <f t="shared" si="2"/>
        <v>2180.5287</v>
      </c>
      <c r="M77" s="11">
        <f>SUM(G76:G77)</f>
        <v>201.03</v>
      </c>
    </row>
    <row r="78">
      <c r="A78" s="5">
        <v>45670.0</v>
      </c>
      <c r="B78" s="6">
        <v>2.0</v>
      </c>
      <c r="D78" s="6">
        <v>38.0</v>
      </c>
      <c r="E78" s="9">
        <f>41.01+200</f>
        <v>241.01</v>
      </c>
      <c r="F78" s="6">
        <v>1.0</v>
      </c>
      <c r="G78" s="10">
        <v>100.28</v>
      </c>
      <c r="H78" s="8">
        <v>21.2</v>
      </c>
      <c r="I78" s="6">
        <v>2154.4</v>
      </c>
      <c r="J78" s="9">
        <f t="shared" si="2"/>
        <v>2139.3192</v>
      </c>
      <c r="K78" s="9">
        <f>AVERAGE(J78:J79)</f>
        <v>2141.05695</v>
      </c>
    </row>
    <row r="79">
      <c r="A79" s="5">
        <v>45670.0</v>
      </c>
      <c r="B79" s="6">
        <v>2.0</v>
      </c>
      <c r="D79" s="6">
        <v>38.0</v>
      </c>
      <c r="F79" s="6">
        <v>2.0</v>
      </c>
      <c r="G79" s="10">
        <v>100.07</v>
      </c>
      <c r="H79" s="8">
        <v>21.1</v>
      </c>
      <c r="I79" s="6">
        <v>2157.9</v>
      </c>
      <c r="J79" s="9">
        <f t="shared" si="2"/>
        <v>2142.7947</v>
      </c>
      <c r="M79" s="11">
        <f>SUM(G78:G79)</f>
        <v>200.35</v>
      </c>
    </row>
    <row r="80">
      <c r="A80" s="5">
        <v>45670.0</v>
      </c>
      <c r="B80" s="6">
        <v>2.0</v>
      </c>
      <c r="D80" s="6">
        <v>39.0</v>
      </c>
      <c r="E80" s="9">
        <f>24.59+200</f>
        <v>224.59</v>
      </c>
      <c r="F80" s="6">
        <v>1.0</v>
      </c>
      <c r="G80" s="10">
        <v>100.12</v>
      </c>
      <c r="H80" s="8">
        <v>21.2</v>
      </c>
      <c r="I80" s="6">
        <v>2204.9</v>
      </c>
      <c r="J80" s="9">
        <f t="shared" si="2"/>
        <v>2189.4657</v>
      </c>
      <c r="K80" s="9">
        <f>AVERAGE(J80:J81)</f>
        <v>2191.89855</v>
      </c>
    </row>
    <row r="81">
      <c r="A81" s="5">
        <v>45670.0</v>
      </c>
      <c r="B81" s="6">
        <v>2.0</v>
      </c>
      <c r="D81" s="6">
        <v>39.0</v>
      </c>
      <c r="F81" s="6">
        <v>2.0</v>
      </c>
      <c r="G81" s="10">
        <v>100.35</v>
      </c>
      <c r="H81" s="8">
        <v>21.1</v>
      </c>
      <c r="I81" s="6">
        <v>2209.8</v>
      </c>
      <c r="J81" s="9">
        <f t="shared" si="2"/>
        <v>2194.3314</v>
      </c>
      <c r="M81" s="11">
        <f>SUM(G80:G81)</f>
        <v>200.47</v>
      </c>
    </row>
    <row r="82">
      <c r="A82" s="5">
        <v>45670.0</v>
      </c>
      <c r="B82" s="6">
        <v>2.0</v>
      </c>
      <c r="D82" s="1">
        <v>40.0</v>
      </c>
      <c r="F82" s="6">
        <v>1.0</v>
      </c>
      <c r="G82" s="10">
        <v>100.04</v>
      </c>
      <c r="H82" s="8">
        <v>21.2</v>
      </c>
      <c r="I82" s="6">
        <v>2200.2</v>
      </c>
      <c r="J82" s="9">
        <f t="shared" si="2"/>
        <v>2184.7986</v>
      </c>
      <c r="K82" s="9">
        <f>AVERAGE(J82:J83)</f>
        <v>2185.4937</v>
      </c>
    </row>
    <row r="83">
      <c r="A83" s="5">
        <v>45670.0</v>
      </c>
      <c r="B83" s="6">
        <v>2.0</v>
      </c>
      <c r="D83" s="1">
        <v>40.0</v>
      </c>
      <c r="F83" s="6">
        <v>2.0</v>
      </c>
      <c r="G83" s="10">
        <v>100.86</v>
      </c>
      <c r="H83" s="8">
        <v>21.2</v>
      </c>
      <c r="I83" s="6">
        <v>2201.6</v>
      </c>
      <c r="J83" s="9">
        <f t="shared" si="2"/>
        <v>2186.1888</v>
      </c>
      <c r="M83" s="11">
        <f>SUM(G82:G83)</f>
        <v>200.9</v>
      </c>
    </row>
    <row r="84">
      <c r="A84" s="5">
        <v>45670.0</v>
      </c>
      <c r="B84" s="6">
        <v>2.0</v>
      </c>
      <c r="D84" s="6">
        <v>41.0</v>
      </c>
      <c r="E84" s="9">
        <f>41.82+200</f>
        <v>241.82</v>
      </c>
      <c r="F84" s="6">
        <v>1.0</v>
      </c>
      <c r="G84" s="10">
        <v>100.07</v>
      </c>
      <c r="H84" s="8">
        <v>21.0</v>
      </c>
      <c r="I84" s="6">
        <v>2206.3</v>
      </c>
      <c r="J84" s="9">
        <f t="shared" si="2"/>
        <v>2190.8559</v>
      </c>
      <c r="K84" s="9">
        <f>AVERAGE(J84:J85)</f>
        <v>2192.09715</v>
      </c>
    </row>
    <row r="85">
      <c r="A85" s="5">
        <v>45670.0</v>
      </c>
      <c r="B85" s="6">
        <v>2.0</v>
      </c>
      <c r="D85" s="6">
        <v>41.0</v>
      </c>
      <c r="F85" s="6">
        <v>2.0</v>
      </c>
      <c r="G85" s="10">
        <v>100.6</v>
      </c>
      <c r="H85" s="8">
        <v>21.0</v>
      </c>
      <c r="I85" s="6">
        <v>2208.8</v>
      </c>
      <c r="J85" s="9">
        <f t="shared" si="2"/>
        <v>2193.3384</v>
      </c>
      <c r="M85" s="11">
        <f>SUM(G84:G85)</f>
        <v>200.67</v>
      </c>
    </row>
    <row r="86">
      <c r="A86" s="5">
        <v>45670.0</v>
      </c>
      <c r="B86" s="6">
        <v>2.0</v>
      </c>
      <c r="D86" s="6">
        <v>42.0</v>
      </c>
      <c r="E86" s="9">
        <f>47.2+200</f>
        <v>247.2</v>
      </c>
      <c r="F86" s="6">
        <v>1.0</v>
      </c>
      <c r="G86" s="10">
        <v>100.8</v>
      </c>
      <c r="H86" s="8">
        <v>21.0</v>
      </c>
      <c r="I86" s="6">
        <v>2205.5</v>
      </c>
      <c r="J86" s="9">
        <f t="shared" si="2"/>
        <v>2190.0615</v>
      </c>
      <c r="K86" s="9">
        <f>AVERAGE(J86:J87)</f>
        <v>2189.565</v>
      </c>
    </row>
    <row r="87">
      <c r="A87" s="5">
        <v>45670.0</v>
      </c>
      <c r="B87" s="6">
        <v>2.0</v>
      </c>
      <c r="D87" s="6">
        <v>42.0</v>
      </c>
      <c r="F87" s="6">
        <v>2.0</v>
      </c>
      <c r="G87" s="10">
        <v>100.11</v>
      </c>
      <c r="H87" s="8">
        <v>21.0</v>
      </c>
      <c r="I87" s="6">
        <v>2204.5</v>
      </c>
      <c r="J87" s="9">
        <f t="shared" si="2"/>
        <v>2189.0685</v>
      </c>
      <c r="M87" s="11">
        <f>SUM(G86:G87)</f>
        <v>200.91</v>
      </c>
    </row>
    <row r="88">
      <c r="A88" s="5">
        <v>45670.0</v>
      </c>
      <c r="B88" s="6">
        <v>2.0</v>
      </c>
      <c r="D88" s="12">
        <v>43.0</v>
      </c>
      <c r="E88" s="9">
        <f>38.78+200</f>
        <v>238.78</v>
      </c>
      <c r="F88" s="6">
        <v>1.0</v>
      </c>
      <c r="G88" s="10">
        <v>100.03</v>
      </c>
      <c r="H88" s="8">
        <v>21.1</v>
      </c>
      <c r="I88" s="6">
        <v>2193.6</v>
      </c>
      <c r="J88" s="9">
        <f t="shared" si="2"/>
        <v>2178.2448</v>
      </c>
      <c r="K88" s="9">
        <f>AVERAGE(J88:J89)</f>
        <v>2180.4294</v>
      </c>
    </row>
    <row r="89">
      <c r="A89" s="5">
        <v>45670.0</v>
      </c>
      <c r="B89" s="6">
        <v>2.0</v>
      </c>
      <c r="D89" s="12">
        <v>43.0</v>
      </c>
      <c r="F89" s="6">
        <v>2.0</v>
      </c>
      <c r="G89" s="10">
        <v>100.91</v>
      </c>
      <c r="H89" s="8">
        <v>20.8</v>
      </c>
      <c r="I89" s="6">
        <v>2198.0</v>
      </c>
      <c r="J89" s="9">
        <f t="shared" si="2"/>
        <v>2182.614</v>
      </c>
      <c r="M89" s="11">
        <f>SUM(G88:G89)</f>
        <v>200.94</v>
      </c>
    </row>
    <row r="90">
      <c r="A90" s="5">
        <v>45670.0</v>
      </c>
      <c r="B90" s="6">
        <v>2.0</v>
      </c>
      <c r="D90" s="6">
        <v>44.0</v>
      </c>
      <c r="E90" s="6" t="s">
        <v>18</v>
      </c>
      <c r="F90" s="6">
        <v>1.0</v>
      </c>
      <c r="G90" s="10">
        <v>100.02</v>
      </c>
      <c r="H90" s="8">
        <v>21.1</v>
      </c>
      <c r="I90" s="6">
        <v>2194.6</v>
      </c>
      <c r="J90" s="9">
        <f t="shared" si="2"/>
        <v>2179.2378</v>
      </c>
      <c r="K90" s="9">
        <f>AVERAGE(J90:J91)</f>
        <v>2183.5077</v>
      </c>
    </row>
    <row r="91">
      <c r="A91" s="5">
        <v>45670.0</v>
      </c>
      <c r="B91" s="6">
        <v>2.0</v>
      </c>
      <c r="D91" s="6">
        <v>44.0</v>
      </c>
      <c r="F91" s="6">
        <v>2.0</v>
      </c>
      <c r="G91" s="10">
        <v>100.35</v>
      </c>
      <c r="H91" s="8">
        <v>21.0</v>
      </c>
      <c r="I91" s="6">
        <v>2203.2</v>
      </c>
      <c r="J91" s="9">
        <f t="shared" si="2"/>
        <v>2187.7776</v>
      </c>
      <c r="M91" s="11">
        <f>SUM(G90:G91)</f>
        <v>200.37</v>
      </c>
    </row>
    <row r="92">
      <c r="A92" s="5">
        <v>45670.0</v>
      </c>
      <c r="B92" s="6">
        <v>2.0</v>
      </c>
      <c r="D92" s="6">
        <v>45.0</v>
      </c>
      <c r="E92" s="9">
        <f>43.68+200</f>
        <v>243.68</v>
      </c>
      <c r="F92" s="6">
        <v>1.0</v>
      </c>
      <c r="G92" s="10">
        <v>100.46</v>
      </c>
      <c r="H92" s="8">
        <v>20.9</v>
      </c>
      <c r="I92" s="6">
        <v>2206.0</v>
      </c>
      <c r="J92" s="9">
        <f t="shared" si="2"/>
        <v>2190.558</v>
      </c>
      <c r="K92" s="9">
        <f>AVERAGE(J92:J93)</f>
        <v>2187.8769</v>
      </c>
    </row>
    <row r="93">
      <c r="A93" s="5">
        <v>45670.0</v>
      </c>
      <c r="B93" s="6">
        <v>2.0</v>
      </c>
      <c r="D93" s="6">
        <v>45.0</v>
      </c>
      <c r="F93" s="6">
        <v>2.0</v>
      </c>
      <c r="G93" s="10">
        <v>100.37</v>
      </c>
      <c r="H93" s="8">
        <v>21.0</v>
      </c>
      <c r="I93" s="6">
        <v>2200.6</v>
      </c>
      <c r="J93" s="9">
        <f t="shared" si="2"/>
        <v>2185.1958</v>
      </c>
      <c r="M93" s="11">
        <f>SUM(G92:G93)</f>
        <v>200.83</v>
      </c>
    </row>
    <row r="94">
      <c r="A94" s="5">
        <v>45670.0</v>
      </c>
      <c r="B94" s="6">
        <v>2.0</v>
      </c>
      <c r="D94" s="13">
        <v>46.0</v>
      </c>
      <c r="E94" s="9">
        <f>39.08+200</f>
        <v>239.08</v>
      </c>
      <c r="F94" s="6">
        <v>1.0</v>
      </c>
      <c r="G94" s="10">
        <v>100.2</v>
      </c>
      <c r="H94" s="8">
        <v>21.0</v>
      </c>
      <c r="I94" s="6">
        <v>2179.7</v>
      </c>
      <c r="J94" s="9">
        <f t="shared" si="2"/>
        <v>2164.4421</v>
      </c>
      <c r="K94" s="9">
        <f>AVERAGE(J94:J95)</f>
        <v>2168.26515</v>
      </c>
    </row>
    <row r="95">
      <c r="A95" s="5">
        <v>45670.0</v>
      </c>
      <c r="B95" s="6">
        <v>2.0</v>
      </c>
      <c r="D95" s="13">
        <v>46.0</v>
      </c>
      <c r="F95" s="6">
        <v>2.0</v>
      </c>
      <c r="G95" s="10">
        <v>100.09</v>
      </c>
      <c r="H95" s="8">
        <v>20.8</v>
      </c>
      <c r="I95" s="6">
        <v>2187.4</v>
      </c>
      <c r="J95" s="9">
        <f t="shared" si="2"/>
        <v>2172.0882</v>
      </c>
      <c r="M95" s="11">
        <f>SUM(G94:G95)</f>
        <v>200.29</v>
      </c>
    </row>
    <row r="96">
      <c r="A96" s="5">
        <v>45670.0</v>
      </c>
      <c r="B96" s="6">
        <v>2.0</v>
      </c>
      <c r="D96" s="13">
        <v>47.0</v>
      </c>
      <c r="E96" s="9">
        <f>47.67+200</f>
        <v>247.67</v>
      </c>
      <c r="F96" s="6">
        <v>1.0</v>
      </c>
      <c r="G96" s="10">
        <v>100.06</v>
      </c>
      <c r="H96" s="8">
        <v>21.0</v>
      </c>
      <c r="I96" s="6">
        <v>2205.6</v>
      </c>
      <c r="J96" s="9">
        <f t="shared" si="2"/>
        <v>2190.1608</v>
      </c>
      <c r="K96" s="9">
        <f>AVERAGE(J96:J97)</f>
        <v>2189.41605</v>
      </c>
    </row>
    <row r="97">
      <c r="A97" s="5">
        <v>45670.0</v>
      </c>
      <c r="B97" s="6">
        <v>2.0</v>
      </c>
      <c r="D97" s="13">
        <v>47.0</v>
      </c>
      <c r="F97" s="6">
        <v>2.0</v>
      </c>
      <c r="G97" s="10">
        <v>100.03</v>
      </c>
      <c r="H97" s="8">
        <v>20.9</v>
      </c>
      <c r="I97" s="6">
        <v>2204.1</v>
      </c>
      <c r="J97" s="9">
        <f t="shared" si="2"/>
        <v>2188.6713</v>
      </c>
      <c r="M97" s="11">
        <f>SUM(G96:G97)</f>
        <v>200.09</v>
      </c>
    </row>
    <row r="98">
      <c r="A98" s="5">
        <v>45670.0</v>
      </c>
      <c r="B98" s="6">
        <v>2.0</v>
      </c>
      <c r="D98" s="13">
        <v>48.0</v>
      </c>
      <c r="E98" s="9">
        <f>42.92+200</f>
        <v>242.92</v>
      </c>
      <c r="F98" s="6">
        <v>1.0</v>
      </c>
      <c r="G98" s="10">
        <v>100.2</v>
      </c>
      <c r="H98" s="8">
        <v>20.9</v>
      </c>
      <c r="I98" s="6">
        <v>2204.5</v>
      </c>
      <c r="J98" s="9">
        <f t="shared" si="2"/>
        <v>2189.0685</v>
      </c>
      <c r="K98" s="9">
        <f>AVERAGE(J98:J99)</f>
        <v>2187.92655</v>
      </c>
    </row>
    <row r="99">
      <c r="A99" s="5">
        <v>45670.0</v>
      </c>
      <c r="B99" s="6">
        <v>2.0</v>
      </c>
      <c r="D99" s="13">
        <v>48.0</v>
      </c>
      <c r="F99" s="6">
        <v>2.0</v>
      </c>
      <c r="G99" s="10">
        <v>100.32</v>
      </c>
      <c r="H99" s="8">
        <v>20.9</v>
      </c>
      <c r="I99" s="6">
        <v>2202.2</v>
      </c>
      <c r="J99" s="9">
        <f t="shared" si="2"/>
        <v>2186.7846</v>
      </c>
      <c r="M99" s="11">
        <f>SUM(G98:G99)</f>
        <v>200.52</v>
      </c>
    </row>
    <row r="100">
      <c r="A100" s="5">
        <v>45670.0</v>
      </c>
      <c r="B100" s="6">
        <v>2.0</v>
      </c>
      <c r="D100" s="13">
        <v>49.0</v>
      </c>
      <c r="E100" s="9">
        <f>41.61+200</f>
        <v>241.61</v>
      </c>
      <c r="F100" s="6">
        <v>1.0</v>
      </c>
      <c r="G100" s="10">
        <v>100.27</v>
      </c>
      <c r="H100" s="8">
        <v>20.9</v>
      </c>
      <c r="I100" s="6">
        <v>2190.9</v>
      </c>
      <c r="J100" s="9">
        <f t="shared" si="2"/>
        <v>2175.5637</v>
      </c>
      <c r="K100" s="9">
        <f>AVERAGE(J100:J101)</f>
        <v>2172.73365</v>
      </c>
    </row>
    <row r="101">
      <c r="A101" s="5">
        <v>45670.0</v>
      </c>
      <c r="B101" s="6">
        <v>2.0</v>
      </c>
      <c r="D101" s="13">
        <v>49.0</v>
      </c>
      <c r="F101" s="6">
        <v>2.0</v>
      </c>
      <c r="G101" s="10">
        <v>100.1</v>
      </c>
      <c r="H101" s="8">
        <v>20.8</v>
      </c>
      <c r="I101" s="6">
        <v>2185.2</v>
      </c>
      <c r="J101" s="9">
        <f t="shared" si="2"/>
        <v>2169.9036</v>
      </c>
      <c r="M101" s="11">
        <f>SUM(G100:G101)</f>
        <v>200.37</v>
      </c>
    </row>
    <row r="102">
      <c r="A102" s="5">
        <v>45670.0</v>
      </c>
      <c r="B102" s="6">
        <v>2.0</v>
      </c>
      <c r="D102" s="13">
        <v>50.0</v>
      </c>
      <c r="E102" s="9">
        <f>41.34+200</f>
        <v>241.34</v>
      </c>
      <c r="F102" s="6">
        <v>1.0</v>
      </c>
      <c r="G102" s="10">
        <v>100.49</v>
      </c>
      <c r="H102" s="8">
        <v>20.9</v>
      </c>
      <c r="I102" s="6">
        <v>2198.2</v>
      </c>
      <c r="J102" s="9">
        <f t="shared" si="2"/>
        <v>2182.8126</v>
      </c>
      <c r="K102" s="9">
        <f>AVERAGE(J102:J103)</f>
        <v>2185.1958</v>
      </c>
    </row>
    <row r="103">
      <c r="A103" s="5">
        <v>45670.0</v>
      </c>
      <c r="B103" s="6">
        <v>2.0</v>
      </c>
      <c r="D103" s="13">
        <v>50.0</v>
      </c>
      <c r="F103" s="6">
        <v>2.0</v>
      </c>
      <c r="G103" s="10">
        <v>100.23</v>
      </c>
      <c r="H103" s="8">
        <v>20.89</v>
      </c>
      <c r="I103" s="6">
        <v>2203.0</v>
      </c>
      <c r="J103" s="9">
        <f t="shared" si="2"/>
        <v>2187.579</v>
      </c>
      <c r="M103" s="11">
        <f>SUM(G102:G103)</f>
        <v>200.72</v>
      </c>
    </row>
    <row r="104">
      <c r="A104" s="5">
        <v>45670.0</v>
      </c>
      <c r="B104" s="6">
        <v>2.0</v>
      </c>
      <c r="D104" s="13">
        <v>51.0</v>
      </c>
      <c r="E104" s="9">
        <f>40.77+200</f>
        <v>240.77</v>
      </c>
      <c r="F104" s="6">
        <v>1.0</v>
      </c>
      <c r="G104" s="10">
        <v>100.1</v>
      </c>
      <c r="H104" s="8">
        <v>20.9</v>
      </c>
      <c r="I104" s="6">
        <v>2187.5</v>
      </c>
      <c r="J104" s="9">
        <f t="shared" si="2"/>
        <v>2172.1875</v>
      </c>
      <c r="K104" s="9">
        <f>AVERAGE(J104:J105)</f>
        <v>2172.4854</v>
      </c>
    </row>
    <row r="105">
      <c r="A105" s="5">
        <v>45670.0</v>
      </c>
      <c r="B105" s="6">
        <v>2.0</v>
      </c>
      <c r="D105" s="13">
        <v>51.0</v>
      </c>
      <c r="F105" s="6">
        <v>2.0</v>
      </c>
      <c r="G105" s="10">
        <v>100.72</v>
      </c>
      <c r="H105" s="8">
        <v>20.9</v>
      </c>
      <c r="I105" s="6">
        <v>2188.1</v>
      </c>
      <c r="J105" s="9">
        <f t="shared" si="2"/>
        <v>2172.7833</v>
      </c>
      <c r="M105" s="11">
        <f>SUM(G104:G105)</f>
        <v>200.82</v>
      </c>
    </row>
    <row r="106">
      <c r="A106" s="5">
        <v>45670.0</v>
      </c>
      <c r="B106" s="6">
        <v>2.0</v>
      </c>
      <c r="D106" s="13">
        <v>52.0</v>
      </c>
      <c r="E106" s="9">
        <f>21.47+200</f>
        <v>221.47</v>
      </c>
      <c r="F106" s="6">
        <v>1.0</v>
      </c>
      <c r="G106" s="10">
        <v>100.2</v>
      </c>
      <c r="H106" s="8">
        <v>20.8</v>
      </c>
      <c r="I106" s="6">
        <v>2208.6</v>
      </c>
      <c r="J106" s="9">
        <f t="shared" si="2"/>
        <v>2193.1398</v>
      </c>
      <c r="K106" s="9">
        <f>AVERAGE(J106:J107)</f>
        <v>2193.68595</v>
      </c>
    </row>
    <row r="107">
      <c r="A107" s="5">
        <v>45670.0</v>
      </c>
      <c r="B107" s="6">
        <v>2.0</v>
      </c>
      <c r="D107" s="13">
        <v>52.0</v>
      </c>
      <c r="F107" s="6">
        <v>2.0</v>
      </c>
      <c r="G107" s="10">
        <v>100.66</v>
      </c>
      <c r="H107" s="8">
        <v>20.8</v>
      </c>
      <c r="I107" s="6">
        <v>2209.7</v>
      </c>
      <c r="J107" s="9">
        <f t="shared" si="2"/>
        <v>2194.2321</v>
      </c>
      <c r="M107" s="11">
        <f>SUM(G106:G107)</f>
        <v>200.86</v>
      </c>
      <c r="N107" s="11"/>
    </row>
    <row r="108">
      <c r="A108" s="5">
        <v>45670.0</v>
      </c>
      <c r="B108" s="6">
        <v>3.0</v>
      </c>
      <c r="D108" s="14">
        <v>53.0</v>
      </c>
      <c r="F108" s="6">
        <v>1.0</v>
      </c>
      <c r="G108" s="10">
        <v>100.56</v>
      </c>
      <c r="H108" s="8">
        <v>21.1</v>
      </c>
      <c r="I108" s="6">
        <v>2187.0</v>
      </c>
      <c r="J108" s="9">
        <f t="shared" si="2"/>
        <v>2171.691</v>
      </c>
      <c r="K108" s="9">
        <f>AVERAGE(J108:J109)</f>
        <v>2172.4854</v>
      </c>
      <c r="N108" s="11"/>
    </row>
    <row r="109">
      <c r="A109" s="5">
        <v>45670.0</v>
      </c>
      <c r="B109" s="6">
        <v>3.0</v>
      </c>
      <c r="D109" s="14">
        <v>53.0</v>
      </c>
      <c r="F109" s="6">
        <v>2.0</v>
      </c>
      <c r="G109" s="10">
        <v>100.89</v>
      </c>
      <c r="H109" s="8">
        <v>21.1</v>
      </c>
      <c r="I109" s="6">
        <v>2188.6</v>
      </c>
      <c r="J109" s="9">
        <f t="shared" si="2"/>
        <v>2173.2798</v>
      </c>
      <c r="M109" s="11">
        <f>SUM(G108:G109)</f>
        <v>201.45</v>
      </c>
      <c r="N109" s="11"/>
    </row>
    <row r="110">
      <c r="A110" s="5">
        <v>45670.0</v>
      </c>
      <c r="B110" s="6">
        <v>3.0</v>
      </c>
      <c r="D110" s="13">
        <v>54.0</v>
      </c>
      <c r="E110" s="9">
        <f>56.83+200</f>
        <v>256.83</v>
      </c>
      <c r="F110" s="6">
        <v>1.0</v>
      </c>
      <c r="G110" s="10">
        <v>100.06</v>
      </c>
      <c r="H110" s="8">
        <v>21.2</v>
      </c>
      <c r="I110" s="6">
        <v>2209.4</v>
      </c>
      <c r="J110" s="9">
        <f t="shared" si="2"/>
        <v>2193.9342</v>
      </c>
      <c r="K110" s="9">
        <f>AVERAGE(J110:J111)</f>
        <v>2188.4727</v>
      </c>
      <c r="N110" s="11"/>
    </row>
    <row r="111">
      <c r="A111" s="5">
        <v>45670.0</v>
      </c>
      <c r="B111" s="6">
        <v>3.0</v>
      </c>
      <c r="D111" s="13">
        <v>54.0</v>
      </c>
      <c r="F111" s="6">
        <v>2.0</v>
      </c>
      <c r="G111" s="10">
        <v>100.48</v>
      </c>
      <c r="H111" s="8">
        <v>21.2</v>
      </c>
      <c r="I111" s="6">
        <v>2198.4</v>
      </c>
      <c r="J111" s="9">
        <f t="shared" si="2"/>
        <v>2183.0112</v>
      </c>
      <c r="M111" s="11">
        <f>SUM(G110:G111)</f>
        <v>200.54</v>
      </c>
      <c r="N111" s="11"/>
    </row>
    <row r="112">
      <c r="A112" s="5">
        <v>45670.0</v>
      </c>
      <c r="B112" s="6">
        <v>3.0</v>
      </c>
      <c r="D112" s="13">
        <v>55.0</v>
      </c>
      <c r="E112" s="9">
        <f>43.85+200</f>
        <v>243.85</v>
      </c>
      <c r="F112" s="6">
        <v>1.0</v>
      </c>
      <c r="G112" s="10">
        <v>100.13</v>
      </c>
      <c r="H112" s="8">
        <v>21.2</v>
      </c>
      <c r="I112" s="6">
        <v>2160.5</v>
      </c>
      <c r="J112" s="9">
        <f t="shared" si="2"/>
        <v>2145.3765</v>
      </c>
      <c r="K112" s="9">
        <f>AVERAGE(J112:J113)</f>
        <v>2145.32685</v>
      </c>
      <c r="N112" s="11"/>
    </row>
    <row r="113">
      <c r="A113" s="5">
        <v>45670.0</v>
      </c>
      <c r="B113" s="6">
        <v>3.0</v>
      </c>
      <c r="D113" s="13">
        <v>55.0</v>
      </c>
      <c r="F113" s="6">
        <v>2.0</v>
      </c>
      <c r="G113" s="10">
        <v>100.12</v>
      </c>
      <c r="H113" s="8">
        <v>21.1</v>
      </c>
      <c r="I113" s="6">
        <v>2160.4</v>
      </c>
      <c r="J113" s="9">
        <f t="shared" si="2"/>
        <v>2145.2772</v>
      </c>
      <c r="M113" s="11">
        <f>SUM(G112:G113)</f>
        <v>200.25</v>
      </c>
      <c r="N113" s="11"/>
    </row>
    <row r="114">
      <c r="A114" s="5">
        <v>45670.0</v>
      </c>
      <c r="B114" s="6">
        <v>3.0</v>
      </c>
      <c r="D114" s="13">
        <v>56.0</v>
      </c>
      <c r="E114" s="9">
        <f>33.82+200</f>
        <v>233.82</v>
      </c>
      <c r="F114" s="6">
        <v>1.0</v>
      </c>
      <c r="G114" s="10">
        <v>100.49</v>
      </c>
      <c r="H114" s="8">
        <v>21.2</v>
      </c>
      <c r="I114" s="6">
        <v>2141.6</v>
      </c>
      <c r="J114" s="9">
        <f t="shared" si="2"/>
        <v>2126.6088</v>
      </c>
      <c r="K114" s="9">
        <f>AVERAGE(J114:J115)</f>
        <v>2126.9067</v>
      </c>
      <c r="N114" s="11"/>
    </row>
    <row r="115">
      <c r="A115" s="5">
        <v>45670.0</v>
      </c>
      <c r="B115" s="6">
        <v>3.0</v>
      </c>
      <c r="D115" s="13">
        <v>56.0</v>
      </c>
      <c r="F115" s="6">
        <v>2.0</v>
      </c>
      <c r="G115" s="10">
        <v>100.06</v>
      </c>
      <c r="H115" s="8">
        <v>21.3</v>
      </c>
      <c r="I115" s="6">
        <v>2142.2</v>
      </c>
      <c r="J115" s="9">
        <f t="shared" si="2"/>
        <v>2127.2046</v>
      </c>
      <c r="M115" s="11">
        <f>SUM(G114:G115)</f>
        <v>200.55</v>
      </c>
      <c r="N115" s="11"/>
    </row>
    <row r="116">
      <c r="A116" s="5">
        <v>45670.0</v>
      </c>
      <c r="B116" s="6">
        <v>3.0</v>
      </c>
      <c r="D116" s="13">
        <v>57.0</v>
      </c>
      <c r="E116" s="9">
        <f>47.33+200</f>
        <v>247.33</v>
      </c>
      <c r="F116" s="6">
        <v>1.0</v>
      </c>
      <c r="G116" s="10">
        <v>100.19</v>
      </c>
      <c r="H116" s="8">
        <v>21.2</v>
      </c>
      <c r="I116" s="6">
        <v>2200.3</v>
      </c>
      <c r="J116" s="9">
        <f t="shared" si="2"/>
        <v>2184.8979</v>
      </c>
      <c r="K116" s="9">
        <f>AVERAGE(J116:J117)</f>
        <v>2181.2238</v>
      </c>
      <c r="N116" s="11"/>
    </row>
    <row r="117">
      <c r="A117" s="5">
        <v>45670.0</v>
      </c>
      <c r="B117" s="6">
        <v>3.0</v>
      </c>
      <c r="D117" s="13">
        <v>57.0</v>
      </c>
      <c r="F117" s="6">
        <v>2.0</v>
      </c>
      <c r="G117" s="10">
        <v>100.19</v>
      </c>
      <c r="H117" s="8">
        <v>21.3</v>
      </c>
      <c r="I117" s="6">
        <v>2192.9</v>
      </c>
      <c r="J117" s="9">
        <f t="shared" si="2"/>
        <v>2177.5497</v>
      </c>
      <c r="M117" s="11">
        <f>SUM(G116:G117)</f>
        <v>200.38</v>
      </c>
      <c r="N117" s="11"/>
    </row>
    <row r="118">
      <c r="A118" s="5">
        <v>45670.0</v>
      </c>
      <c r="B118" s="6">
        <v>3.0</v>
      </c>
      <c r="D118" s="13">
        <v>58.0</v>
      </c>
      <c r="E118" s="9">
        <f>24.74+200</f>
        <v>224.74</v>
      </c>
      <c r="F118" s="6">
        <v>1.0</v>
      </c>
      <c r="G118" s="10">
        <v>100.5</v>
      </c>
      <c r="H118" s="8">
        <v>21.1</v>
      </c>
      <c r="I118" s="6">
        <v>2203.0</v>
      </c>
      <c r="J118" s="9">
        <f t="shared" si="2"/>
        <v>2187.579</v>
      </c>
      <c r="K118" s="9">
        <f>AVERAGE(J118:J119)</f>
        <v>2184.8979</v>
      </c>
      <c r="N118" s="11"/>
    </row>
    <row r="119">
      <c r="A119" s="5">
        <v>45670.0</v>
      </c>
      <c r="B119" s="6">
        <v>3.0</v>
      </c>
      <c r="D119" s="13">
        <v>58.0</v>
      </c>
      <c r="F119" s="6">
        <v>2.0</v>
      </c>
      <c r="G119" s="10">
        <v>100.17</v>
      </c>
      <c r="H119" s="8">
        <v>21.1</v>
      </c>
      <c r="I119" s="6">
        <v>2197.6</v>
      </c>
      <c r="J119" s="9">
        <f t="shared" si="2"/>
        <v>2182.2168</v>
      </c>
      <c r="M119" s="11">
        <f>SUM(G118:G119)</f>
        <v>200.67</v>
      </c>
      <c r="N119" s="11"/>
    </row>
    <row r="120">
      <c r="A120" s="5">
        <v>45670.0</v>
      </c>
      <c r="B120" s="6">
        <v>3.0</v>
      </c>
      <c r="D120" s="13">
        <v>59.0</v>
      </c>
      <c r="E120" s="9">
        <f>38.16+200</f>
        <v>238.16</v>
      </c>
      <c r="F120" s="6">
        <v>1.0</v>
      </c>
      <c r="G120" s="10">
        <v>100.43</v>
      </c>
      <c r="H120" s="8">
        <v>21.3</v>
      </c>
      <c r="I120" s="6">
        <v>2188.9</v>
      </c>
      <c r="J120" s="9">
        <f t="shared" si="2"/>
        <v>2173.5777</v>
      </c>
      <c r="K120" s="9">
        <f>AVERAGE(J120:J121)</f>
        <v>2174.5707</v>
      </c>
      <c r="N120" s="11"/>
    </row>
    <row r="121">
      <c r="A121" s="5">
        <v>45670.0</v>
      </c>
      <c r="B121" s="6">
        <v>3.0</v>
      </c>
      <c r="D121" s="13">
        <v>59.0</v>
      </c>
      <c r="F121" s="6">
        <v>2.0</v>
      </c>
      <c r="G121" s="10">
        <v>100.11</v>
      </c>
      <c r="H121" s="8">
        <v>21.2</v>
      </c>
      <c r="I121" s="6">
        <v>2190.9</v>
      </c>
      <c r="J121" s="9">
        <f t="shared" si="2"/>
        <v>2175.5637</v>
      </c>
      <c r="M121" s="11">
        <f>SUM(G120:G121)</f>
        <v>200.54</v>
      </c>
      <c r="N121" s="11"/>
    </row>
    <row r="122">
      <c r="A122" s="5">
        <v>45670.0</v>
      </c>
      <c r="B122" s="6">
        <v>3.0</v>
      </c>
      <c r="D122" s="13">
        <v>60.0</v>
      </c>
      <c r="E122" s="9">
        <f>42.66+200</f>
        <v>242.66</v>
      </c>
      <c r="F122" s="6">
        <v>1.0</v>
      </c>
      <c r="G122" s="10">
        <v>100.25</v>
      </c>
      <c r="H122" s="8">
        <v>21.3</v>
      </c>
      <c r="I122" s="6">
        <v>2177.5</v>
      </c>
      <c r="J122" s="9">
        <f t="shared" si="2"/>
        <v>2162.2575</v>
      </c>
      <c r="K122" s="9">
        <f>AVERAGE(J122:J123)</f>
        <v>2160.71835</v>
      </c>
      <c r="N122" s="11"/>
    </row>
    <row r="123">
      <c r="A123" s="5">
        <v>45670.0</v>
      </c>
      <c r="B123" s="6">
        <v>3.0</v>
      </c>
      <c r="D123" s="13">
        <v>60.0</v>
      </c>
      <c r="F123" s="6">
        <v>2.0</v>
      </c>
      <c r="G123" s="10">
        <v>100.09</v>
      </c>
      <c r="H123" s="8">
        <v>21.3</v>
      </c>
      <c r="I123" s="6">
        <v>2174.4</v>
      </c>
      <c r="J123" s="9">
        <f t="shared" si="2"/>
        <v>2159.1792</v>
      </c>
      <c r="M123" s="11">
        <f>SUM(G122:G123)</f>
        <v>200.34</v>
      </c>
      <c r="N123" s="11"/>
    </row>
    <row r="124">
      <c r="A124" s="5">
        <v>45670.0</v>
      </c>
      <c r="B124" s="6">
        <v>3.0</v>
      </c>
      <c r="D124" s="13">
        <v>61.0</v>
      </c>
      <c r="E124" s="9">
        <f>39.61+200</f>
        <v>239.61</v>
      </c>
      <c r="F124" s="6">
        <v>1.0</v>
      </c>
      <c r="G124" s="10">
        <v>100.3</v>
      </c>
      <c r="H124" s="8">
        <v>21.3</v>
      </c>
      <c r="I124" s="6">
        <v>2162.2</v>
      </c>
      <c r="J124" s="9">
        <f t="shared" si="2"/>
        <v>2147.0646</v>
      </c>
      <c r="K124" s="9">
        <f>AVERAGE(J124:J125)</f>
        <v>2147.61075</v>
      </c>
      <c r="N124" s="11"/>
    </row>
    <row r="125">
      <c r="A125" s="5">
        <v>45670.0</v>
      </c>
      <c r="B125" s="6">
        <v>3.0</v>
      </c>
      <c r="D125" s="13">
        <v>61.0</v>
      </c>
      <c r="F125" s="6">
        <v>2.0</v>
      </c>
      <c r="G125" s="10">
        <v>100.23</v>
      </c>
      <c r="H125" s="8">
        <v>21.3</v>
      </c>
      <c r="I125" s="6">
        <v>2163.3</v>
      </c>
      <c r="J125" s="9">
        <f t="shared" si="2"/>
        <v>2148.1569</v>
      </c>
      <c r="M125" s="11">
        <f>SUM(G124:G125)</f>
        <v>200.53</v>
      </c>
      <c r="N125" s="11"/>
    </row>
    <row r="126">
      <c r="A126" s="5">
        <v>45670.0</v>
      </c>
      <c r="B126" s="6">
        <v>3.0</v>
      </c>
      <c r="D126" s="13">
        <v>62.0</v>
      </c>
      <c r="E126" s="9">
        <f>43.36+200</f>
        <v>243.36</v>
      </c>
      <c r="F126" s="6">
        <v>1.0</v>
      </c>
      <c r="G126" s="10">
        <v>100.27</v>
      </c>
      <c r="H126" s="8">
        <v>21.4</v>
      </c>
      <c r="I126" s="6">
        <v>2211.5</v>
      </c>
      <c r="J126" s="9">
        <f t="shared" si="2"/>
        <v>2196.0195</v>
      </c>
      <c r="K126" s="9">
        <f>AVERAGE(J126:J127)</f>
        <v>2195.2251</v>
      </c>
      <c r="N126" s="11"/>
    </row>
    <row r="127">
      <c r="A127" s="5">
        <v>45670.0</v>
      </c>
      <c r="B127" s="6">
        <v>3.0</v>
      </c>
      <c r="D127" s="13">
        <v>62.0</v>
      </c>
      <c r="F127" s="6">
        <v>2.0</v>
      </c>
      <c r="G127" s="10">
        <v>100.15</v>
      </c>
      <c r="H127" s="8">
        <v>21.3</v>
      </c>
      <c r="I127" s="6">
        <v>2209.9</v>
      </c>
      <c r="J127" s="9">
        <f t="shared" si="2"/>
        <v>2194.4307</v>
      </c>
      <c r="M127" s="11">
        <f>SUM(G126:G127)</f>
        <v>200.42</v>
      </c>
      <c r="N127" s="11"/>
    </row>
    <row r="128">
      <c r="A128" s="5">
        <v>45670.0</v>
      </c>
      <c r="B128" s="6">
        <v>3.0</v>
      </c>
      <c r="D128" s="13">
        <v>63.0</v>
      </c>
      <c r="E128" s="9">
        <f>33.94+200</f>
        <v>233.94</v>
      </c>
      <c r="F128" s="6">
        <v>1.0</v>
      </c>
      <c r="G128" s="10">
        <v>100.2</v>
      </c>
      <c r="H128" s="8">
        <v>21.3</v>
      </c>
      <c r="I128" s="6">
        <v>2137.1</v>
      </c>
      <c r="J128" s="9">
        <f t="shared" si="2"/>
        <v>2122.1403</v>
      </c>
      <c r="K128" s="9">
        <f>AVERAGE(J128:J129)</f>
        <v>2126.6088</v>
      </c>
      <c r="N128" s="11"/>
    </row>
    <row r="129">
      <c r="A129" s="5">
        <v>45670.0</v>
      </c>
      <c r="B129" s="6">
        <v>3.0</v>
      </c>
      <c r="D129" s="12">
        <v>63.0</v>
      </c>
      <c r="F129" s="6">
        <v>2.0</v>
      </c>
      <c r="G129" s="10">
        <v>100.04</v>
      </c>
      <c r="H129" s="8">
        <v>21.4</v>
      </c>
      <c r="I129" s="6">
        <v>2146.1</v>
      </c>
      <c r="J129" s="9">
        <f t="shared" si="2"/>
        <v>2131.0773</v>
      </c>
      <c r="M129" s="11">
        <f>SUM(G128:G129)</f>
        <v>200.24</v>
      </c>
      <c r="N129" s="11"/>
    </row>
    <row r="130">
      <c r="A130" s="5">
        <v>45670.0</v>
      </c>
      <c r="B130" s="6">
        <v>3.0</v>
      </c>
      <c r="D130" s="6">
        <v>64.0</v>
      </c>
      <c r="E130" s="9">
        <f>36.42+200</f>
        <v>236.42</v>
      </c>
      <c r="F130" s="6">
        <v>1.0</v>
      </c>
      <c r="G130" s="10">
        <v>100.37</v>
      </c>
      <c r="H130" s="8">
        <v>21.3</v>
      </c>
      <c r="I130" s="6">
        <v>2116.5</v>
      </c>
      <c r="J130" s="9">
        <f t="shared" si="2"/>
        <v>2101.6845</v>
      </c>
      <c r="K130" s="9">
        <f>AVERAGE(J130:J131)</f>
        <v>2103.8691</v>
      </c>
      <c r="N130" s="11"/>
    </row>
    <row r="131">
      <c r="A131" s="5">
        <v>45670.0</v>
      </c>
      <c r="B131" s="6">
        <v>3.0</v>
      </c>
      <c r="D131" s="6">
        <v>64.0</v>
      </c>
      <c r="F131" s="6">
        <v>2.0</v>
      </c>
      <c r="G131" s="10">
        <v>100.19</v>
      </c>
      <c r="H131" s="8">
        <v>21.4</v>
      </c>
      <c r="I131" s="6">
        <v>2120.9</v>
      </c>
      <c r="J131" s="9">
        <f t="shared" si="2"/>
        <v>2106.0537</v>
      </c>
      <c r="M131" s="11">
        <f>SUM(G130:G131)</f>
        <v>200.56</v>
      </c>
      <c r="N131" s="11"/>
    </row>
    <row r="132">
      <c r="A132" s="5">
        <v>45670.0</v>
      </c>
      <c r="B132" s="6">
        <v>3.0</v>
      </c>
      <c r="D132" s="6">
        <v>65.0</v>
      </c>
      <c r="E132" s="9">
        <f>40.1+200</f>
        <v>240.1</v>
      </c>
      <c r="F132" s="6">
        <v>1.0</v>
      </c>
      <c r="G132" s="10">
        <v>100.29</v>
      </c>
      <c r="H132" s="8">
        <v>21.4</v>
      </c>
      <c r="I132" s="6">
        <v>2192.6</v>
      </c>
      <c r="J132" s="9">
        <f t="shared" si="2"/>
        <v>2177.2518</v>
      </c>
      <c r="K132" s="9">
        <f>AVERAGE(J132:J133)</f>
        <v>2180.8266</v>
      </c>
      <c r="N132" s="11"/>
    </row>
    <row r="133">
      <c r="A133" s="15">
        <v>45670.0</v>
      </c>
      <c r="B133" s="6">
        <v>3.0</v>
      </c>
      <c r="D133" s="6">
        <v>65.0</v>
      </c>
      <c r="F133" s="6">
        <v>2.0</v>
      </c>
      <c r="G133" s="10">
        <v>100.38</v>
      </c>
      <c r="H133" s="8">
        <v>21.4</v>
      </c>
      <c r="I133" s="6">
        <v>2199.8</v>
      </c>
      <c r="J133" s="9">
        <f t="shared" si="2"/>
        <v>2184.4014</v>
      </c>
      <c r="K133" s="16"/>
      <c r="M133" s="11">
        <f>SUM(G132:G133)</f>
        <v>200.67</v>
      </c>
      <c r="N133" s="11"/>
    </row>
    <row r="134">
      <c r="A134" s="5">
        <v>45671.0</v>
      </c>
      <c r="B134" s="17"/>
      <c r="C134" s="18"/>
      <c r="D134" s="19" t="s">
        <v>13</v>
      </c>
      <c r="E134" s="18"/>
      <c r="F134" s="17">
        <v>1.0</v>
      </c>
      <c r="G134" s="20">
        <v>100.5</v>
      </c>
      <c r="H134" s="21">
        <v>21.2</v>
      </c>
      <c r="I134" s="17">
        <v>2204.0</v>
      </c>
      <c r="J134" s="18">
        <f t="shared" si="2"/>
        <v>2188.572</v>
      </c>
      <c r="K134" s="9">
        <f>AVERAGE(J134:J135)</f>
        <v>2187.9762</v>
      </c>
      <c r="L134" s="17" t="s">
        <v>19</v>
      </c>
      <c r="N134" s="11"/>
    </row>
    <row r="135">
      <c r="A135" s="5">
        <v>45671.0</v>
      </c>
      <c r="B135" s="6"/>
      <c r="D135" s="1" t="s">
        <v>13</v>
      </c>
      <c r="F135" s="6">
        <v>2.0</v>
      </c>
      <c r="G135" s="10">
        <v>100.83</v>
      </c>
      <c r="H135" s="8">
        <v>21.1</v>
      </c>
      <c r="I135" s="6">
        <v>2202.8</v>
      </c>
      <c r="J135" s="9">
        <f t="shared" si="2"/>
        <v>2187.3804</v>
      </c>
      <c r="N135" s="11"/>
    </row>
    <row r="136">
      <c r="A136" s="5">
        <v>45671.0</v>
      </c>
      <c r="B136" s="6"/>
      <c r="D136" s="1" t="s">
        <v>20</v>
      </c>
      <c r="F136" s="6">
        <v>1.0</v>
      </c>
      <c r="G136" s="10">
        <v>100.05</v>
      </c>
      <c r="H136" s="8">
        <v>22.4</v>
      </c>
      <c r="I136" s="6">
        <v>2244.5</v>
      </c>
      <c r="J136" s="9">
        <f t="shared" si="2"/>
        <v>2228.7885</v>
      </c>
      <c r="K136" s="9">
        <f>AVERAGE(J136:J137)</f>
        <v>2232.3633</v>
      </c>
      <c r="N136" s="11"/>
    </row>
    <row r="137">
      <c r="A137" s="5">
        <v>45671.0</v>
      </c>
      <c r="B137" s="6"/>
      <c r="D137" s="1" t="s">
        <v>20</v>
      </c>
      <c r="F137" s="6">
        <v>2.0</v>
      </c>
      <c r="G137" s="10">
        <v>100.41</v>
      </c>
      <c r="H137" s="8">
        <v>22.2</v>
      </c>
      <c r="I137" s="6">
        <v>2251.7</v>
      </c>
      <c r="J137" s="9">
        <f t="shared" si="2"/>
        <v>2235.9381</v>
      </c>
      <c r="N137" s="11"/>
    </row>
    <row r="138">
      <c r="A138" s="5">
        <v>45671.0</v>
      </c>
      <c r="B138" s="6">
        <v>3.0</v>
      </c>
      <c r="D138" s="1">
        <v>66.0</v>
      </c>
      <c r="F138" s="6">
        <v>1.0</v>
      </c>
      <c r="G138" s="10">
        <v>100.89</v>
      </c>
      <c r="H138" s="8">
        <v>16.9</v>
      </c>
      <c r="I138" s="6">
        <v>2197.7</v>
      </c>
      <c r="J138" s="9">
        <f t="shared" si="2"/>
        <v>2182.3161</v>
      </c>
      <c r="K138" s="9">
        <f>AVERAGE(J138:J139)</f>
        <v>2182.16715</v>
      </c>
      <c r="L138" s="6" t="s">
        <v>21</v>
      </c>
      <c r="N138" s="11"/>
    </row>
    <row r="139">
      <c r="A139" s="5">
        <v>45671.0</v>
      </c>
      <c r="B139" s="6">
        <v>3.0</v>
      </c>
      <c r="D139" s="1">
        <v>66.0</v>
      </c>
      <c r="F139" s="6">
        <v>2.0</v>
      </c>
      <c r="G139" s="10">
        <v>100.16</v>
      </c>
      <c r="H139" s="8">
        <v>17.0</v>
      </c>
      <c r="I139" s="6">
        <v>2197.4</v>
      </c>
      <c r="J139" s="9">
        <f t="shared" si="2"/>
        <v>2182.0182</v>
      </c>
      <c r="M139" s="11">
        <f>SUM(G138:G139)</f>
        <v>201.05</v>
      </c>
      <c r="N139" s="11"/>
    </row>
    <row r="140">
      <c r="A140" s="5">
        <v>45671.0</v>
      </c>
      <c r="B140" s="6">
        <v>3.0</v>
      </c>
      <c r="D140" s="6">
        <v>67.0</v>
      </c>
      <c r="E140" s="9">
        <f>43.81+200</f>
        <v>243.81</v>
      </c>
      <c r="F140" s="6">
        <v>1.0</v>
      </c>
      <c r="G140" s="10">
        <v>100.2</v>
      </c>
      <c r="H140" s="8">
        <v>18.0</v>
      </c>
      <c r="I140" s="6">
        <v>2202.1</v>
      </c>
      <c r="J140" s="9">
        <f t="shared" si="2"/>
        <v>2186.6853</v>
      </c>
      <c r="K140" s="9">
        <f>AVERAGE(J140:J141)</f>
        <v>2195.47335</v>
      </c>
      <c r="N140" s="11"/>
    </row>
    <row r="141">
      <c r="A141" s="5">
        <v>45671.0</v>
      </c>
      <c r="B141" s="6">
        <v>3.0</v>
      </c>
      <c r="D141" s="6">
        <v>67.0</v>
      </c>
      <c r="F141" s="6">
        <v>2.0</v>
      </c>
      <c r="G141" s="10">
        <v>100.39</v>
      </c>
      <c r="H141" s="8">
        <v>18.2</v>
      </c>
      <c r="I141" s="6">
        <v>2219.8</v>
      </c>
      <c r="J141" s="9">
        <f t="shared" si="2"/>
        <v>2204.2614</v>
      </c>
      <c r="M141" s="11">
        <f>SUM(G140:G141)</f>
        <v>200.59</v>
      </c>
      <c r="N141" s="11"/>
    </row>
    <row r="142">
      <c r="A142" s="5">
        <v>45671.0</v>
      </c>
      <c r="B142" s="6">
        <v>3.0</v>
      </c>
      <c r="D142" s="6">
        <v>68.0</v>
      </c>
      <c r="E142" s="9">
        <f>43.87+200</f>
        <v>243.87</v>
      </c>
      <c r="F142" s="6">
        <v>1.0</v>
      </c>
      <c r="G142" s="10">
        <v>100.07</v>
      </c>
      <c r="H142" s="8">
        <v>18.5</v>
      </c>
      <c r="I142" s="6">
        <v>2191.7</v>
      </c>
      <c r="J142" s="9">
        <f t="shared" si="2"/>
        <v>2176.3581</v>
      </c>
      <c r="K142" s="9">
        <f>AVERAGE(J142:J143)</f>
        <v>2177.9469</v>
      </c>
      <c r="N142" s="11"/>
    </row>
    <row r="143">
      <c r="A143" s="5">
        <v>45671.0</v>
      </c>
      <c r="B143" s="6">
        <v>3.0</v>
      </c>
      <c r="D143" s="6">
        <v>68.0</v>
      </c>
      <c r="F143" s="6">
        <v>2.0</v>
      </c>
      <c r="G143" s="10">
        <v>100.3</v>
      </c>
      <c r="H143" s="8">
        <v>18.7</v>
      </c>
      <c r="I143" s="6">
        <v>2194.9</v>
      </c>
      <c r="J143" s="9">
        <f t="shared" si="2"/>
        <v>2179.5357</v>
      </c>
      <c r="M143" s="11">
        <f>SUM(G142:G143)</f>
        <v>200.37</v>
      </c>
      <c r="N143" s="11"/>
    </row>
    <row r="144">
      <c r="A144" s="5">
        <v>45671.0</v>
      </c>
      <c r="B144" s="6">
        <v>3.0</v>
      </c>
      <c r="D144" s="6">
        <v>69.0</v>
      </c>
      <c r="E144" s="9">
        <f>27.49+200</f>
        <v>227.49</v>
      </c>
      <c r="F144" s="6">
        <v>1.0</v>
      </c>
      <c r="G144" s="10">
        <v>100.55</v>
      </c>
      <c r="H144" s="8">
        <v>19.0</v>
      </c>
      <c r="I144" s="6">
        <v>2187.4</v>
      </c>
      <c r="J144" s="9">
        <f t="shared" si="2"/>
        <v>2172.0882</v>
      </c>
      <c r="K144" s="9">
        <f>AVERAGE(J144:J145)</f>
        <v>2175.31545</v>
      </c>
      <c r="N144" s="11"/>
    </row>
    <row r="145">
      <c r="A145" s="5">
        <v>45671.0</v>
      </c>
      <c r="B145" s="6">
        <v>3.0</v>
      </c>
      <c r="D145" s="6">
        <v>69.0</v>
      </c>
      <c r="F145" s="6">
        <v>2.0</v>
      </c>
      <c r="G145" s="10">
        <v>100.77</v>
      </c>
      <c r="H145" s="8">
        <v>18.9</v>
      </c>
      <c r="I145" s="6">
        <v>2193.9</v>
      </c>
      <c r="J145" s="9">
        <f t="shared" si="2"/>
        <v>2178.5427</v>
      </c>
      <c r="M145" s="11">
        <f>SUM(G144:G145)</f>
        <v>201.32</v>
      </c>
      <c r="N145" s="11"/>
    </row>
    <row r="146">
      <c r="A146" s="5">
        <v>45671.0</v>
      </c>
      <c r="B146" s="6">
        <v>3.0</v>
      </c>
      <c r="D146" s="6">
        <v>70.0</v>
      </c>
      <c r="F146" s="6">
        <v>1.0</v>
      </c>
      <c r="G146" s="10">
        <v>100.29</v>
      </c>
      <c r="H146" s="8">
        <v>19.1</v>
      </c>
      <c r="I146" s="6">
        <v>2172.3</v>
      </c>
      <c r="J146" s="9">
        <f t="shared" si="2"/>
        <v>2157.0939</v>
      </c>
      <c r="K146" s="9">
        <f>AVERAGE(J146:J147)</f>
        <v>2158.1862</v>
      </c>
      <c r="N146" s="11"/>
    </row>
    <row r="147">
      <c r="A147" s="5">
        <v>45671.0</v>
      </c>
      <c r="B147" s="6">
        <v>3.0</v>
      </c>
      <c r="D147" s="6">
        <v>70.0</v>
      </c>
      <c r="E147" s="9">
        <f>39.35+200</f>
        <v>239.35</v>
      </c>
      <c r="F147" s="6">
        <v>2.0</v>
      </c>
      <c r="G147" s="10">
        <v>100.11</v>
      </c>
      <c r="H147" s="8">
        <v>19.3</v>
      </c>
      <c r="I147" s="6">
        <v>2174.5</v>
      </c>
      <c r="J147" s="9">
        <f t="shared" si="2"/>
        <v>2159.2785</v>
      </c>
      <c r="M147" s="11">
        <f>SUM(G146:G147)</f>
        <v>200.4</v>
      </c>
      <c r="N147" s="11"/>
    </row>
    <row r="148">
      <c r="A148" s="5">
        <v>45671.0</v>
      </c>
      <c r="B148" s="6">
        <v>3.0</v>
      </c>
      <c r="D148" s="6">
        <v>71.0</v>
      </c>
      <c r="F148" s="6">
        <v>1.0</v>
      </c>
      <c r="G148" s="10">
        <v>100.15</v>
      </c>
      <c r="H148" s="8">
        <v>19.2</v>
      </c>
      <c r="I148" s="6">
        <v>2194.9</v>
      </c>
      <c r="J148" s="9">
        <f t="shared" si="2"/>
        <v>2179.5357</v>
      </c>
      <c r="K148" s="9">
        <f>AVERAGE(J148:J149)</f>
        <v>2177.30145</v>
      </c>
      <c r="N148" s="11"/>
    </row>
    <row r="149">
      <c r="A149" s="5">
        <v>45671.0</v>
      </c>
      <c r="B149" s="6">
        <v>3.0</v>
      </c>
      <c r="D149" s="6">
        <v>71.0</v>
      </c>
      <c r="E149" s="9">
        <f>22.74+200</f>
        <v>222.74</v>
      </c>
      <c r="F149" s="6">
        <v>2.0</v>
      </c>
      <c r="G149" s="10">
        <v>100.48</v>
      </c>
      <c r="H149" s="6">
        <v>19.2</v>
      </c>
      <c r="I149" s="6">
        <v>2190.4</v>
      </c>
      <c r="J149" s="9">
        <f t="shared" si="2"/>
        <v>2175.0672</v>
      </c>
      <c r="M149" s="11">
        <f>SUM(G148:G149)</f>
        <v>200.63</v>
      </c>
      <c r="N149" s="11"/>
    </row>
    <row r="150">
      <c r="A150" s="5">
        <v>45671.0</v>
      </c>
      <c r="B150" s="6">
        <v>3.0</v>
      </c>
      <c r="D150" s="6">
        <v>72.0</v>
      </c>
      <c r="F150" s="6">
        <v>1.0</v>
      </c>
      <c r="G150" s="10">
        <v>100.22</v>
      </c>
      <c r="H150" s="6">
        <v>19.2</v>
      </c>
      <c r="I150" s="6">
        <v>2192.8</v>
      </c>
      <c r="J150" s="9">
        <f t="shared" si="2"/>
        <v>2177.4504</v>
      </c>
      <c r="K150" s="9">
        <f>AVERAGE(J150:J151)</f>
        <v>2173.677</v>
      </c>
      <c r="N150" s="11"/>
    </row>
    <row r="151">
      <c r="A151" s="5">
        <v>45671.0</v>
      </c>
      <c r="B151" s="6">
        <v>3.0</v>
      </c>
      <c r="D151" s="6">
        <v>72.0</v>
      </c>
      <c r="E151" s="9">
        <f>39.76+200</f>
        <v>239.76</v>
      </c>
      <c r="F151" s="6">
        <v>2.0</v>
      </c>
      <c r="G151" s="10">
        <v>100.15</v>
      </c>
      <c r="H151" s="6">
        <v>19.4</v>
      </c>
      <c r="I151" s="6">
        <v>2185.2</v>
      </c>
      <c r="J151" s="9">
        <f t="shared" si="2"/>
        <v>2169.9036</v>
      </c>
      <c r="M151" s="11">
        <f>SUM(G150:G151)</f>
        <v>200.37</v>
      </c>
      <c r="N151" s="11"/>
    </row>
    <row r="152">
      <c r="A152" s="5">
        <v>45671.0</v>
      </c>
      <c r="B152" s="6">
        <v>3.0</v>
      </c>
      <c r="D152" s="6">
        <v>73.0</v>
      </c>
      <c r="F152" s="6">
        <v>1.0</v>
      </c>
      <c r="G152" s="10">
        <v>100.52</v>
      </c>
      <c r="H152" s="8">
        <v>19.5</v>
      </c>
      <c r="I152" s="6">
        <v>2190.2</v>
      </c>
      <c r="J152" s="9">
        <f t="shared" si="2"/>
        <v>2174.8686</v>
      </c>
      <c r="K152" s="9">
        <f>AVERAGE(J152:J153)</f>
        <v>2173.7763</v>
      </c>
      <c r="N152" s="11"/>
    </row>
    <row r="153">
      <c r="A153" s="5">
        <v>45671.0</v>
      </c>
      <c r="B153" s="6">
        <v>3.0</v>
      </c>
      <c r="D153" s="6">
        <v>73.0</v>
      </c>
      <c r="E153" s="9">
        <f>42.95+200</f>
        <v>242.95</v>
      </c>
      <c r="F153" s="6">
        <v>2.0</v>
      </c>
      <c r="G153" s="10">
        <v>100.59</v>
      </c>
      <c r="H153" s="8">
        <v>19.6</v>
      </c>
      <c r="I153" s="6">
        <v>2188.0</v>
      </c>
      <c r="J153" s="9">
        <f t="shared" si="2"/>
        <v>2172.684</v>
      </c>
      <c r="M153" s="11">
        <f>SUM(G152:G153)</f>
        <v>201.11</v>
      </c>
      <c r="N153" s="11"/>
    </row>
    <row r="154">
      <c r="A154" s="5">
        <v>45671.0</v>
      </c>
      <c r="B154" s="6">
        <v>3.0</v>
      </c>
      <c r="D154" s="6">
        <v>74.0</v>
      </c>
      <c r="F154" s="6">
        <v>1.0</v>
      </c>
      <c r="G154" s="10">
        <v>100.47</v>
      </c>
      <c r="H154" s="8">
        <v>19.4</v>
      </c>
      <c r="I154" s="6">
        <v>2185.3</v>
      </c>
      <c r="J154" s="9">
        <f t="shared" si="2"/>
        <v>2170.0029</v>
      </c>
      <c r="K154" s="9">
        <f>AVERAGE(J154:J155)</f>
        <v>2164.5414</v>
      </c>
      <c r="N154" s="11"/>
    </row>
    <row r="155">
      <c r="A155" s="5">
        <v>45671.0</v>
      </c>
      <c r="B155" s="6">
        <v>3.0</v>
      </c>
      <c r="D155" s="6">
        <v>74.0</v>
      </c>
      <c r="E155" s="9">
        <f>40.54+200</f>
        <v>240.54</v>
      </c>
      <c r="F155" s="6">
        <v>2.0</v>
      </c>
      <c r="G155" s="10">
        <v>100.35</v>
      </c>
      <c r="H155" s="8">
        <v>19.4</v>
      </c>
      <c r="I155" s="6">
        <v>2174.3</v>
      </c>
      <c r="J155" s="9">
        <f t="shared" si="2"/>
        <v>2159.0799</v>
      </c>
      <c r="M155" s="11">
        <f>SUM(G154:G155)</f>
        <v>200.82</v>
      </c>
      <c r="N155" s="11"/>
    </row>
    <row r="156">
      <c r="A156" s="5">
        <v>45671.0</v>
      </c>
      <c r="B156" s="6">
        <v>3.0</v>
      </c>
      <c r="D156" s="6">
        <v>75.0</v>
      </c>
      <c r="F156" s="6">
        <v>1.0</v>
      </c>
      <c r="G156" s="10">
        <v>100.83</v>
      </c>
      <c r="H156" s="8">
        <v>19.6</v>
      </c>
      <c r="I156" s="6">
        <v>2182.8</v>
      </c>
      <c r="J156" s="9">
        <f t="shared" si="2"/>
        <v>2167.5204</v>
      </c>
      <c r="K156" s="9">
        <f>AVERAGE(J156:J157)</f>
        <v>2163.6477</v>
      </c>
      <c r="N156" s="11"/>
    </row>
    <row r="157">
      <c r="A157" s="5">
        <v>45671.0</v>
      </c>
      <c r="B157" s="6">
        <v>3.0</v>
      </c>
      <c r="D157" s="6">
        <v>75.0</v>
      </c>
      <c r="E157" s="9">
        <f>39.13+200</f>
        <v>239.13</v>
      </c>
      <c r="F157" s="6">
        <v>2.0</v>
      </c>
      <c r="G157" s="10">
        <v>100.62</v>
      </c>
      <c r="H157" s="8">
        <v>19.6</v>
      </c>
      <c r="I157" s="6">
        <v>2175.0</v>
      </c>
      <c r="J157" s="9">
        <f t="shared" si="2"/>
        <v>2159.775</v>
      </c>
      <c r="M157" s="11">
        <f>SUM(G156:G157)</f>
        <v>201.45</v>
      </c>
      <c r="N157" s="11"/>
    </row>
    <row r="158">
      <c r="A158" s="5">
        <v>45671.0</v>
      </c>
      <c r="B158" s="6">
        <v>3.0</v>
      </c>
      <c r="D158" s="6">
        <v>76.0</v>
      </c>
      <c r="F158" s="6">
        <v>1.0</v>
      </c>
      <c r="G158" s="10">
        <v>100.09</v>
      </c>
      <c r="H158" s="8">
        <v>19.7</v>
      </c>
      <c r="I158" s="6">
        <v>2188.5</v>
      </c>
      <c r="J158" s="9">
        <f t="shared" si="2"/>
        <v>2173.1805</v>
      </c>
      <c r="K158" s="9">
        <f>AVERAGE(J158:J159)</f>
        <v>2172.83295</v>
      </c>
      <c r="N158" s="11"/>
    </row>
    <row r="159">
      <c r="A159" s="5">
        <v>45671.0</v>
      </c>
      <c r="B159" s="6">
        <v>3.0</v>
      </c>
      <c r="D159" s="6">
        <v>76.0</v>
      </c>
      <c r="E159" s="9">
        <f>39.05+200</f>
        <v>239.05</v>
      </c>
      <c r="F159" s="6">
        <v>2.0</v>
      </c>
      <c r="G159" s="10">
        <v>100.42</v>
      </c>
      <c r="H159" s="8">
        <v>19.6</v>
      </c>
      <c r="I159" s="6">
        <v>2187.8</v>
      </c>
      <c r="J159" s="9">
        <f t="shared" si="2"/>
        <v>2172.4854</v>
      </c>
      <c r="M159" s="11">
        <f>SUM(G158:G159)</f>
        <v>200.51</v>
      </c>
    </row>
    <row r="160">
      <c r="A160" s="5">
        <v>45671.0</v>
      </c>
      <c r="B160" s="6">
        <v>3.0</v>
      </c>
      <c r="D160" s="6">
        <v>77.0</v>
      </c>
      <c r="F160" s="6">
        <v>1.0</v>
      </c>
      <c r="G160" s="10">
        <v>100.63</v>
      </c>
      <c r="H160" s="8">
        <v>19.9</v>
      </c>
      <c r="I160" s="6">
        <v>2168.9</v>
      </c>
      <c r="J160" s="9">
        <f t="shared" si="2"/>
        <v>2153.7177</v>
      </c>
      <c r="K160" s="9">
        <f>AVERAGE(J160:J161)</f>
        <v>2154.76035</v>
      </c>
    </row>
    <row r="161">
      <c r="A161" s="5">
        <v>45671.0</v>
      </c>
      <c r="B161" s="6">
        <v>3.0</v>
      </c>
      <c r="D161" s="6">
        <v>77.0</v>
      </c>
      <c r="E161" s="9">
        <f>34.67+200</f>
        <v>234.67</v>
      </c>
      <c r="F161" s="6">
        <v>2.0</v>
      </c>
      <c r="G161" s="10">
        <v>100.05</v>
      </c>
      <c r="H161" s="8">
        <v>19.9</v>
      </c>
      <c r="I161" s="6">
        <v>2171.0</v>
      </c>
      <c r="J161" s="9">
        <f t="shared" si="2"/>
        <v>2155.803</v>
      </c>
      <c r="M161" s="11">
        <f>SUM(G160:G161)</f>
        <v>200.68</v>
      </c>
    </row>
    <row r="162">
      <c r="A162" s="5">
        <v>45671.0</v>
      </c>
      <c r="B162" s="6">
        <v>3.0</v>
      </c>
      <c r="D162" s="6">
        <v>78.0</v>
      </c>
      <c r="F162" s="6">
        <v>1.0</v>
      </c>
      <c r="G162" s="10">
        <v>100.6</v>
      </c>
      <c r="H162" s="8">
        <v>19.8</v>
      </c>
      <c r="I162" s="6">
        <v>2163.0</v>
      </c>
      <c r="J162" s="9">
        <f t="shared" si="2"/>
        <v>2147.859</v>
      </c>
      <c r="K162" s="9">
        <f>AVERAGE(J162:J163)</f>
        <v>2146.2702</v>
      </c>
    </row>
    <row r="163">
      <c r="A163" s="5">
        <v>45671.0</v>
      </c>
      <c r="B163" s="6">
        <v>3.0</v>
      </c>
      <c r="D163" s="6">
        <v>78.0</v>
      </c>
      <c r="E163" s="9">
        <f>34.38+200</f>
        <v>234.38</v>
      </c>
      <c r="F163" s="6">
        <v>2.0</v>
      </c>
      <c r="G163" s="10">
        <v>100.55</v>
      </c>
      <c r="H163" s="8">
        <v>19.8</v>
      </c>
      <c r="I163" s="6">
        <v>2159.8</v>
      </c>
      <c r="J163" s="9">
        <f t="shared" si="2"/>
        <v>2144.6814</v>
      </c>
      <c r="M163" s="11">
        <f>SUM(G162:G163)</f>
        <v>201.15</v>
      </c>
    </row>
    <row r="164">
      <c r="A164" s="5">
        <v>45671.0</v>
      </c>
      <c r="B164" s="6">
        <v>4.0</v>
      </c>
      <c r="D164" s="1">
        <v>1.0</v>
      </c>
      <c r="F164" s="6">
        <v>1.0</v>
      </c>
      <c r="G164" s="10">
        <v>100.22</v>
      </c>
      <c r="H164" s="8">
        <v>19.6</v>
      </c>
      <c r="I164" s="6">
        <v>2200.2</v>
      </c>
      <c r="J164" s="9">
        <f t="shared" si="2"/>
        <v>2184.7986</v>
      </c>
      <c r="K164" s="9">
        <f>AVERAGE(J164:J165)</f>
        <v>2181.1245</v>
      </c>
    </row>
    <row r="165">
      <c r="A165" s="5">
        <v>45671.0</v>
      </c>
      <c r="B165" s="6">
        <v>4.0</v>
      </c>
      <c r="D165" s="1">
        <v>1.0</v>
      </c>
      <c r="F165" s="6">
        <v>2.0</v>
      </c>
      <c r="G165" s="10">
        <v>100.45</v>
      </c>
      <c r="H165" s="8">
        <v>19.6</v>
      </c>
      <c r="I165" s="6">
        <v>2192.8</v>
      </c>
      <c r="J165" s="9">
        <f t="shared" si="2"/>
        <v>2177.4504</v>
      </c>
      <c r="M165" s="11">
        <f>SUM(G164:G165)</f>
        <v>200.67</v>
      </c>
    </row>
    <row r="166">
      <c r="A166" s="5">
        <v>45671.0</v>
      </c>
      <c r="B166" s="6">
        <v>4.0</v>
      </c>
      <c r="D166" s="6">
        <v>2.0</v>
      </c>
      <c r="F166" s="6">
        <v>1.0</v>
      </c>
      <c r="G166" s="10">
        <v>100.73</v>
      </c>
      <c r="H166" s="8">
        <v>19.7</v>
      </c>
      <c r="I166" s="6">
        <v>2198.7</v>
      </c>
      <c r="J166" s="9">
        <f t="shared" si="2"/>
        <v>2183.3091</v>
      </c>
      <c r="K166" s="9">
        <f>AVERAGE(J166:J167)</f>
        <v>2177.99655</v>
      </c>
    </row>
    <row r="167">
      <c r="A167" s="5">
        <v>45671.0</v>
      </c>
      <c r="B167" s="6">
        <v>4.0</v>
      </c>
      <c r="C167" s="6"/>
      <c r="D167" s="6">
        <v>2.0</v>
      </c>
      <c r="E167" s="9">
        <f>41.69+200</f>
        <v>241.69</v>
      </c>
      <c r="F167" s="6">
        <v>2.0</v>
      </c>
      <c r="G167" s="10">
        <v>100.4</v>
      </c>
      <c r="H167" s="8">
        <v>19.8</v>
      </c>
      <c r="I167" s="6">
        <v>2188.0</v>
      </c>
      <c r="J167" s="9">
        <f t="shared" si="2"/>
        <v>2172.684</v>
      </c>
      <c r="M167" s="11">
        <f>SUM(G166:G167)</f>
        <v>201.13</v>
      </c>
      <c r="S167" s="16"/>
      <c r="T167" s="16"/>
      <c r="U167" s="16"/>
      <c r="V167" s="16"/>
      <c r="W167" s="16"/>
      <c r="X167" s="16"/>
      <c r="Y167" s="16"/>
      <c r="Z167" s="16"/>
    </row>
    <row r="168">
      <c r="A168" s="5">
        <v>45671.0</v>
      </c>
      <c r="B168" s="6">
        <v>4.0</v>
      </c>
      <c r="D168" s="6">
        <v>3.0</v>
      </c>
      <c r="F168" s="6">
        <v>1.0</v>
      </c>
      <c r="G168" s="10">
        <v>100.64</v>
      </c>
      <c r="H168" s="8">
        <v>19.8</v>
      </c>
      <c r="I168" s="6">
        <v>2196.9</v>
      </c>
      <c r="J168" s="9">
        <f t="shared" si="2"/>
        <v>2181.5217</v>
      </c>
      <c r="K168" s="9">
        <f>AVERAGE(J168:J169)</f>
        <v>2179.38675</v>
      </c>
    </row>
    <row r="169">
      <c r="A169" s="5">
        <v>45671.0</v>
      </c>
      <c r="B169" s="6">
        <v>4.0</v>
      </c>
      <c r="D169" s="6">
        <v>3.0</v>
      </c>
      <c r="E169" s="9">
        <f>45.25+200</f>
        <v>245.25</v>
      </c>
      <c r="F169" s="6">
        <v>2.0</v>
      </c>
      <c r="G169" s="10">
        <v>100.15</v>
      </c>
      <c r="H169" s="8">
        <v>19.9</v>
      </c>
      <c r="I169" s="6">
        <v>2192.6</v>
      </c>
      <c r="J169" s="9">
        <f t="shared" si="2"/>
        <v>2177.2518</v>
      </c>
      <c r="M169" s="11">
        <f>SUM(G168:G169)</f>
        <v>200.79</v>
      </c>
    </row>
    <row r="170">
      <c r="A170" s="5">
        <v>45671.0</v>
      </c>
      <c r="B170" s="6">
        <v>4.0</v>
      </c>
      <c r="D170" s="6">
        <v>4.0</v>
      </c>
      <c r="F170" s="6">
        <v>1.0</v>
      </c>
      <c r="G170" s="10">
        <v>100.17</v>
      </c>
      <c r="H170" s="8">
        <v>20.1</v>
      </c>
      <c r="I170" s="6">
        <v>2191.6</v>
      </c>
      <c r="J170" s="9">
        <f t="shared" si="2"/>
        <v>2176.2588</v>
      </c>
      <c r="K170" s="9">
        <f>AVERAGE(J170:J171)</f>
        <v>2175.8616</v>
      </c>
    </row>
    <row r="171">
      <c r="A171" s="5">
        <v>45671.0</v>
      </c>
      <c r="B171" s="6">
        <v>4.0</v>
      </c>
      <c r="D171" s="6">
        <v>4.0</v>
      </c>
      <c r="E171" s="9">
        <f>38.31+200</f>
        <v>238.31</v>
      </c>
      <c r="F171" s="6">
        <v>2.0</v>
      </c>
      <c r="G171" s="10">
        <v>100.45</v>
      </c>
      <c r="H171" s="8">
        <v>20.1</v>
      </c>
      <c r="I171" s="6">
        <v>2190.8</v>
      </c>
      <c r="J171" s="9">
        <f t="shared" si="2"/>
        <v>2175.4644</v>
      </c>
      <c r="M171" s="11">
        <f>SUM(G170:G171)</f>
        <v>200.62</v>
      </c>
    </row>
    <row r="172">
      <c r="A172" s="5">
        <v>45671.0</v>
      </c>
      <c r="B172" s="6">
        <v>4.0</v>
      </c>
      <c r="D172" s="6">
        <v>5.0</v>
      </c>
      <c r="F172" s="6">
        <v>1.0</v>
      </c>
      <c r="G172" s="10">
        <v>100.18</v>
      </c>
      <c r="H172" s="8">
        <v>20.1</v>
      </c>
      <c r="I172" s="6">
        <v>2181.3</v>
      </c>
      <c r="J172" s="9">
        <f t="shared" si="2"/>
        <v>2166.0309</v>
      </c>
      <c r="K172" s="9">
        <f>AVERAGE(J172:J173)</f>
        <v>2169.0099</v>
      </c>
    </row>
    <row r="173">
      <c r="A173" s="5">
        <v>45671.0</v>
      </c>
      <c r="B173" s="6">
        <v>4.0</v>
      </c>
      <c r="D173" s="6">
        <v>5.0</v>
      </c>
      <c r="E173" s="9">
        <f>42.35+200</f>
        <v>242.35</v>
      </c>
      <c r="F173" s="6">
        <v>2.0</v>
      </c>
      <c r="G173" s="10">
        <v>100.67</v>
      </c>
      <c r="H173" s="8">
        <v>20.2</v>
      </c>
      <c r="I173" s="6">
        <v>2187.3</v>
      </c>
      <c r="J173" s="9">
        <f t="shared" si="2"/>
        <v>2171.9889</v>
      </c>
      <c r="M173" s="11">
        <f>SUM(G172:G173)</f>
        <v>200.85</v>
      </c>
    </row>
    <row r="174">
      <c r="A174" s="5">
        <v>45671.0</v>
      </c>
      <c r="B174" s="6">
        <v>4.0</v>
      </c>
      <c r="D174" s="6">
        <v>6.0</v>
      </c>
      <c r="F174" s="6">
        <v>1.0</v>
      </c>
      <c r="G174" s="10">
        <v>100.23</v>
      </c>
      <c r="H174" s="8">
        <v>20.2</v>
      </c>
      <c r="I174" s="6">
        <v>2200.9</v>
      </c>
      <c r="J174" s="9">
        <f t="shared" si="2"/>
        <v>2185.4937</v>
      </c>
      <c r="K174" s="9">
        <f>AVERAGE(J174:J175)</f>
        <v>2184.6</v>
      </c>
    </row>
    <row r="175">
      <c r="A175" s="5">
        <v>45671.0</v>
      </c>
      <c r="B175" s="6">
        <v>4.0</v>
      </c>
      <c r="D175" s="6">
        <v>6.0</v>
      </c>
      <c r="E175" s="9">
        <f>44.77+200</f>
        <v>244.77</v>
      </c>
      <c r="F175" s="6">
        <v>2.0</v>
      </c>
      <c r="G175" s="10">
        <v>100.24</v>
      </c>
      <c r="H175" s="8">
        <v>20.2</v>
      </c>
      <c r="I175" s="6">
        <v>2199.1</v>
      </c>
      <c r="J175" s="9">
        <f t="shared" si="2"/>
        <v>2183.7063</v>
      </c>
      <c r="M175" s="11">
        <f>SUM(G174:G175)</f>
        <v>200.47</v>
      </c>
    </row>
    <row r="176">
      <c r="A176" s="5">
        <v>45671.0</v>
      </c>
      <c r="B176" s="6">
        <v>4.0</v>
      </c>
      <c r="D176" s="6">
        <v>7.0</v>
      </c>
      <c r="F176" s="6">
        <v>1.0</v>
      </c>
      <c r="G176" s="10">
        <v>100.02</v>
      </c>
      <c r="H176" s="8">
        <v>20.5</v>
      </c>
      <c r="I176" s="6">
        <v>2180.3</v>
      </c>
      <c r="J176" s="9">
        <f t="shared" si="2"/>
        <v>2165.0379</v>
      </c>
      <c r="K176" s="9">
        <f>AVERAGE(J176:J177)</f>
        <v>2164.69035</v>
      </c>
    </row>
    <row r="177">
      <c r="A177" s="5">
        <v>45671.0</v>
      </c>
      <c r="B177" s="6">
        <v>4.0</v>
      </c>
      <c r="D177" s="6">
        <v>7.0</v>
      </c>
      <c r="E177" s="9">
        <f>35.38+200</f>
        <v>235.38</v>
      </c>
      <c r="F177" s="6">
        <v>2.0</v>
      </c>
      <c r="G177" s="10">
        <v>100.58</v>
      </c>
      <c r="H177" s="8">
        <v>20.6</v>
      </c>
      <c r="I177" s="6">
        <v>2179.6</v>
      </c>
      <c r="J177" s="9">
        <f t="shared" si="2"/>
        <v>2164.3428</v>
      </c>
      <c r="M177" s="11">
        <f>SUM(G176:G177)</f>
        <v>200.6</v>
      </c>
    </row>
    <row r="178">
      <c r="A178" s="5">
        <v>45671.0</v>
      </c>
      <c r="B178" s="6">
        <v>4.0</v>
      </c>
      <c r="D178" s="6">
        <v>8.0</v>
      </c>
      <c r="F178" s="6">
        <v>1.0</v>
      </c>
      <c r="G178" s="10">
        <v>100.19</v>
      </c>
      <c r="H178" s="8">
        <v>20.6</v>
      </c>
      <c r="I178" s="6">
        <v>2175.6</v>
      </c>
      <c r="J178" s="9">
        <f t="shared" si="2"/>
        <v>2160.3708</v>
      </c>
      <c r="K178" s="9">
        <f>AVERAGE(J178:J179)</f>
        <v>2160.6687</v>
      </c>
    </row>
    <row r="179">
      <c r="A179" s="5">
        <v>45671.0</v>
      </c>
      <c r="B179" s="6">
        <v>4.0</v>
      </c>
      <c r="D179" s="6">
        <v>8.0</v>
      </c>
      <c r="E179" s="9">
        <f>44.09+200</f>
        <v>244.09</v>
      </c>
      <c r="F179" s="6">
        <v>2.0</v>
      </c>
      <c r="G179" s="10">
        <v>100.32</v>
      </c>
      <c r="H179" s="8">
        <v>20.8</v>
      </c>
      <c r="I179" s="6">
        <v>2176.2</v>
      </c>
      <c r="J179" s="9">
        <f t="shared" si="2"/>
        <v>2160.9666</v>
      </c>
      <c r="M179" s="11">
        <f>SUM(G178:G179)</f>
        <v>200.51</v>
      </c>
    </row>
    <row r="180">
      <c r="A180" s="5">
        <v>45671.0</v>
      </c>
      <c r="B180" s="6">
        <v>4.0</v>
      </c>
      <c r="D180" s="6">
        <v>9.0</v>
      </c>
      <c r="F180" s="6">
        <v>1.0</v>
      </c>
      <c r="G180" s="10">
        <v>100.56</v>
      </c>
      <c r="H180" s="8">
        <v>20.8</v>
      </c>
      <c r="I180" s="6">
        <v>2196.2</v>
      </c>
      <c r="J180" s="9">
        <f t="shared" si="2"/>
        <v>2180.8266</v>
      </c>
      <c r="K180" s="9">
        <f>AVERAGE(J180:J181)</f>
        <v>2180.5287</v>
      </c>
    </row>
    <row r="181">
      <c r="A181" s="5">
        <v>45671.0</v>
      </c>
      <c r="B181" s="6">
        <v>4.0</v>
      </c>
      <c r="D181" s="6">
        <v>9.0</v>
      </c>
      <c r="E181" s="9">
        <f>43.32+200</f>
        <v>243.32</v>
      </c>
      <c r="F181" s="6">
        <v>2.0</v>
      </c>
      <c r="G181" s="10">
        <v>100.84</v>
      </c>
      <c r="H181" s="8">
        <v>20.8</v>
      </c>
      <c r="I181" s="6">
        <v>2195.6</v>
      </c>
      <c r="J181" s="9">
        <f t="shared" si="2"/>
        <v>2180.2308</v>
      </c>
      <c r="M181" s="11">
        <f>SUM(G180:G181)</f>
        <v>201.4</v>
      </c>
    </row>
    <row r="182">
      <c r="A182" s="5">
        <v>45671.0</v>
      </c>
      <c r="B182" s="6">
        <v>4.0</v>
      </c>
      <c r="D182" s="6">
        <v>10.0</v>
      </c>
      <c r="F182" s="6">
        <v>1.0</v>
      </c>
      <c r="G182" s="10">
        <v>100.35</v>
      </c>
      <c r="H182" s="8">
        <v>20.9</v>
      </c>
      <c r="I182" s="6">
        <v>2198.4</v>
      </c>
      <c r="J182" s="9">
        <f t="shared" si="2"/>
        <v>2183.0112</v>
      </c>
      <c r="K182" s="9">
        <f>AVERAGE(J182:J183)</f>
        <v>2181.4224</v>
      </c>
    </row>
    <row r="183">
      <c r="A183" s="5">
        <v>45671.0</v>
      </c>
      <c r="B183" s="6">
        <v>4.0</v>
      </c>
      <c r="D183" s="6">
        <v>10.0</v>
      </c>
      <c r="E183" s="9">
        <f>45.62+200</f>
        <v>245.62</v>
      </c>
      <c r="F183" s="6">
        <v>2.0</v>
      </c>
      <c r="G183" s="10">
        <v>100.11</v>
      </c>
      <c r="H183" s="8">
        <v>21.0</v>
      </c>
      <c r="I183" s="6">
        <v>2195.2</v>
      </c>
      <c r="J183" s="9">
        <f t="shared" si="2"/>
        <v>2179.8336</v>
      </c>
      <c r="M183" s="11">
        <f>SUM(G182:G183)</f>
        <v>200.46</v>
      </c>
    </row>
    <row r="184">
      <c r="A184" s="5">
        <v>45671.0</v>
      </c>
      <c r="B184" s="6">
        <v>4.0</v>
      </c>
      <c r="D184" s="6">
        <v>11.0</v>
      </c>
      <c r="F184" s="6">
        <v>1.0</v>
      </c>
      <c r="G184" s="10">
        <v>100.07</v>
      </c>
      <c r="H184" s="8">
        <v>21.1</v>
      </c>
      <c r="I184" s="6">
        <v>2196.8</v>
      </c>
      <c r="J184" s="9">
        <f t="shared" si="2"/>
        <v>2181.4224</v>
      </c>
      <c r="K184" s="9">
        <f>AVERAGE(J184:J185)</f>
        <v>2180.8266</v>
      </c>
    </row>
    <row r="185">
      <c r="A185" s="5">
        <v>45671.0</v>
      </c>
      <c r="B185" s="6">
        <v>4.0</v>
      </c>
      <c r="D185" s="6">
        <v>11.0</v>
      </c>
      <c r="E185" s="9">
        <f>41.59+200</f>
        <v>241.59</v>
      </c>
      <c r="F185" s="6">
        <v>2.0</v>
      </c>
      <c r="G185" s="10">
        <v>100.29</v>
      </c>
      <c r="H185" s="8">
        <v>21.0</v>
      </c>
      <c r="I185" s="6">
        <v>2195.6</v>
      </c>
      <c r="J185" s="9">
        <f t="shared" si="2"/>
        <v>2180.2308</v>
      </c>
      <c r="M185" s="11">
        <f>SUM(G184:G185)</f>
        <v>200.36</v>
      </c>
    </row>
    <row r="186">
      <c r="A186" s="5">
        <v>45671.0</v>
      </c>
      <c r="B186" s="6">
        <v>4.0</v>
      </c>
      <c r="D186" s="6">
        <v>12.0</v>
      </c>
      <c r="F186" s="6">
        <v>1.0</v>
      </c>
      <c r="G186" s="10">
        <v>100.28</v>
      </c>
      <c r="H186" s="8">
        <v>21.1</v>
      </c>
      <c r="I186" s="6">
        <v>2204.2</v>
      </c>
      <c r="J186" s="9">
        <f t="shared" si="2"/>
        <v>2188.7706</v>
      </c>
      <c r="K186" s="9">
        <f>AVERAGE(J186:J187)</f>
        <v>2189.31675</v>
      </c>
    </row>
    <row r="187">
      <c r="A187" s="5">
        <v>45671.0</v>
      </c>
      <c r="B187" s="6">
        <v>4.0</v>
      </c>
      <c r="D187" s="6">
        <v>12.0</v>
      </c>
      <c r="E187" s="9">
        <f>23.18+200</f>
        <v>223.18</v>
      </c>
      <c r="F187" s="6">
        <v>2.0</v>
      </c>
      <c r="G187" s="10">
        <v>100.87</v>
      </c>
      <c r="H187" s="8">
        <v>21.1</v>
      </c>
      <c r="I187" s="6">
        <v>2205.3</v>
      </c>
      <c r="J187" s="9">
        <f t="shared" si="2"/>
        <v>2189.8629</v>
      </c>
      <c r="M187" s="11">
        <f>SUM(G186:G187)</f>
        <v>201.15</v>
      </c>
    </row>
    <row r="188">
      <c r="A188" s="5">
        <v>45671.0</v>
      </c>
      <c r="B188" s="6">
        <v>4.0</v>
      </c>
      <c r="D188" s="6">
        <v>13.0</v>
      </c>
      <c r="F188" s="6">
        <v>1.0</v>
      </c>
      <c r="G188" s="10">
        <v>100.1</v>
      </c>
      <c r="H188" s="8">
        <v>20.9</v>
      </c>
      <c r="I188" s="6">
        <v>2200.5</v>
      </c>
      <c r="J188" s="9">
        <f t="shared" si="2"/>
        <v>2185.0965</v>
      </c>
      <c r="K188" s="9">
        <f>AVERAGE(J188:J189)</f>
        <v>2185.94055</v>
      </c>
    </row>
    <row r="189">
      <c r="A189" s="5">
        <v>45671.0</v>
      </c>
      <c r="B189" s="6">
        <v>4.0</v>
      </c>
      <c r="D189" s="6">
        <v>13.0</v>
      </c>
      <c r="E189" s="9">
        <f>44.82+200</f>
        <v>244.82</v>
      </c>
      <c r="F189" s="6">
        <v>2.0</v>
      </c>
      <c r="G189" s="10">
        <v>100.46</v>
      </c>
      <c r="H189" s="8">
        <v>20.9</v>
      </c>
      <c r="I189" s="6">
        <v>2202.2</v>
      </c>
      <c r="J189" s="9">
        <f t="shared" si="2"/>
        <v>2186.7846</v>
      </c>
      <c r="M189" s="11">
        <f>SUM(G188:G189)</f>
        <v>200.56</v>
      </c>
    </row>
    <row r="190">
      <c r="A190" s="5">
        <v>45671.0</v>
      </c>
      <c r="B190" s="6">
        <v>4.0</v>
      </c>
      <c r="D190" s="1">
        <v>14.0</v>
      </c>
      <c r="F190" s="6">
        <v>1.0</v>
      </c>
      <c r="G190" s="10">
        <v>100.22</v>
      </c>
      <c r="H190" s="8">
        <v>20.7</v>
      </c>
      <c r="I190" s="6">
        <v>2192.7</v>
      </c>
      <c r="J190" s="9">
        <f t="shared" si="2"/>
        <v>2177.3511</v>
      </c>
      <c r="K190" s="9">
        <f>AVERAGE(J190:J191)</f>
        <v>2179.5357</v>
      </c>
    </row>
    <row r="191">
      <c r="A191" s="5">
        <v>45671.0</v>
      </c>
      <c r="B191" s="6">
        <v>4.0</v>
      </c>
      <c r="D191" s="1">
        <v>14.0</v>
      </c>
      <c r="F191" s="6">
        <v>2.0</v>
      </c>
      <c r="G191" s="10">
        <v>100.27</v>
      </c>
      <c r="H191" s="8">
        <v>20.7</v>
      </c>
      <c r="I191" s="6">
        <v>2197.1</v>
      </c>
      <c r="J191" s="9">
        <f t="shared" si="2"/>
        <v>2181.7203</v>
      </c>
      <c r="M191" s="11">
        <f>SUM(G190:G191)</f>
        <v>200.49</v>
      </c>
    </row>
    <row r="192">
      <c r="A192" s="5">
        <v>45671.0</v>
      </c>
      <c r="B192" s="6">
        <v>4.0</v>
      </c>
      <c r="D192" s="6">
        <v>15.0</v>
      </c>
      <c r="F192" s="6">
        <v>1.0</v>
      </c>
      <c r="G192" s="10">
        <v>100.17</v>
      </c>
      <c r="H192" s="8">
        <v>21.1</v>
      </c>
      <c r="I192" s="6">
        <v>2192.1</v>
      </c>
      <c r="J192" s="9">
        <f t="shared" si="2"/>
        <v>2176.7553</v>
      </c>
      <c r="K192" s="9">
        <f>AVERAGE(J192:J193)</f>
        <v>2173.92525</v>
      </c>
    </row>
    <row r="193">
      <c r="A193" s="5">
        <v>45671.0</v>
      </c>
      <c r="B193" s="6">
        <v>4.0</v>
      </c>
      <c r="D193" s="6">
        <v>15.0</v>
      </c>
      <c r="E193" s="9">
        <f>40.57+200</f>
        <v>240.57</v>
      </c>
      <c r="F193" s="6">
        <v>2.0</v>
      </c>
      <c r="G193" s="10">
        <v>100.22</v>
      </c>
      <c r="H193" s="8">
        <v>21.0</v>
      </c>
      <c r="I193" s="6">
        <v>2186.4</v>
      </c>
      <c r="J193" s="9">
        <f t="shared" si="2"/>
        <v>2171.0952</v>
      </c>
      <c r="M193" s="11">
        <f>SUM(G192:G193)</f>
        <v>200.39</v>
      </c>
    </row>
    <row r="194">
      <c r="A194" s="5">
        <v>45671.0</v>
      </c>
      <c r="B194" s="6">
        <v>4.0</v>
      </c>
      <c r="D194" s="6">
        <v>16.0</v>
      </c>
      <c r="F194" s="6">
        <v>1.0</v>
      </c>
      <c r="G194" s="10">
        <v>100.17</v>
      </c>
      <c r="H194" s="8">
        <v>21.2</v>
      </c>
      <c r="I194" s="6">
        <v>2191.9</v>
      </c>
      <c r="J194" s="9">
        <f t="shared" si="2"/>
        <v>2176.5567</v>
      </c>
      <c r="K194" s="9">
        <f>AVERAGE(J194:J195)</f>
        <v>2175.0672</v>
      </c>
    </row>
    <row r="195">
      <c r="A195" s="5">
        <v>45671.0</v>
      </c>
      <c r="B195" s="6">
        <v>4.0</v>
      </c>
      <c r="D195" s="6">
        <v>16.0</v>
      </c>
      <c r="E195" s="9">
        <f>43.59+200</f>
        <v>243.59</v>
      </c>
      <c r="F195" s="6">
        <v>2.0</v>
      </c>
      <c r="G195" s="10">
        <v>100.25</v>
      </c>
      <c r="H195" s="8">
        <v>21.3</v>
      </c>
      <c r="I195" s="6">
        <v>2188.9</v>
      </c>
      <c r="J195" s="9">
        <f t="shared" si="2"/>
        <v>2173.5777</v>
      </c>
      <c r="M195" s="11">
        <f>SUM(G194:G195)</f>
        <v>200.42</v>
      </c>
    </row>
    <row r="196">
      <c r="A196" s="5">
        <v>45671.0</v>
      </c>
      <c r="B196" s="6">
        <v>4.0</v>
      </c>
      <c r="D196" s="6">
        <v>17.0</v>
      </c>
      <c r="F196" s="6">
        <v>1.0</v>
      </c>
      <c r="G196" s="10">
        <v>100.15</v>
      </c>
      <c r="H196" s="8">
        <v>21.0</v>
      </c>
      <c r="I196" s="6">
        <v>2188.2</v>
      </c>
      <c r="J196" s="9">
        <f t="shared" si="2"/>
        <v>2172.8826</v>
      </c>
      <c r="K196" s="9">
        <f>AVERAGE(J196:J197)</f>
        <v>2173.2798</v>
      </c>
    </row>
    <row r="197">
      <c r="A197" s="5">
        <v>45671.0</v>
      </c>
      <c r="B197" s="6">
        <v>4.0</v>
      </c>
      <c r="D197" s="6">
        <v>17.0</v>
      </c>
      <c r="E197" s="9">
        <f>38.55+200</f>
        <v>238.55</v>
      </c>
      <c r="F197" s="6">
        <v>2.0</v>
      </c>
      <c r="G197" s="10">
        <v>100.65</v>
      </c>
      <c r="H197" s="8">
        <v>21.1</v>
      </c>
      <c r="I197" s="6">
        <v>2189.0</v>
      </c>
      <c r="J197" s="9">
        <f t="shared" si="2"/>
        <v>2173.677</v>
      </c>
      <c r="M197" s="11">
        <f>SUM(G196:G197)</f>
        <v>200.8</v>
      </c>
    </row>
    <row r="198">
      <c r="A198" s="5">
        <v>45671.0</v>
      </c>
      <c r="B198" s="6">
        <v>4.0</v>
      </c>
      <c r="D198" s="6">
        <v>18.0</v>
      </c>
      <c r="F198" s="6">
        <v>1.0</v>
      </c>
      <c r="G198" s="10">
        <v>100.05</v>
      </c>
      <c r="H198" s="8">
        <v>21.3</v>
      </c>
      <c r="I198" s="6">
        <v>2190.2</v>
      </c>
      <c r="J198" s="9">
        <f t="shared" si="2"/>
        <v>2174.8686</v>
      </c>
      <c r="K198" s="9">
        <f>AVERAGE(J198:J199)</f>
        <v>2174.0742</v>
      </c>
    </row>
    <row r="199">
      <c r="A199" s="5">
        <v>45671.0</v>
      </c>
      <c r="B199" s="6">
        <v>4.0</v>
      </c>
      <c r="D199" s="6">
        <v>18.0</v>
      </c>
      <c r="E199" s="9">
        <f>41.56+200</f>
        <v>241.56</v>
      </c>
      <c r="F199" s="6">
        <v>2.0</v>
      </c>
      <c r="G199" s="10">
        <v>100.19</v>
      </c>
      <c r="H199" s="8">
        <v>21.2</v>
      </c>
      <c r="I199" s="6">
        <v>2188.6</v>
      </c>
      <c r="J199" s="9">
        <f t="shared" si="2"/>
        <v>2173.2798</v>
      </c>
      <c r="M199" s="11">
        <f>SUM(G198:G199)</f>
        <v>200.24</v>
      </c>
    </row>
    <row r="200">
      <c r="A200" s="5">
        <v>45671.0</v>
      </c>
      <c r="B200" s="6">
        <v>4.0</v>
      </c>
      <c r="D200" s="6">
        <v>19.0</v>
      </c>
      <c r="F200" s="6">
        <v>1.0</v>
      </c>
      <c r="G200" s="10">
        <v>100.1</v>
      </c>
      <c r="H200" s="8">
        <v>21.3</v>
      </c>
      <c r="I200" s="6">
        <v>2193.2</v>
      </c>
      <c r="J200" s="9">
        <f t="shared" si="2"/>
        <v>2177.8476</v>
      </c>
      <c r="K200" s="9">
        <f>AVERAGE(J200:J201)</f>
        <v>2179.4364</v>
      </c>
    </row>
    <row r="201">
      <c r="A201" s="5">
        <v>45671.0</v>
      </c>
      <c r="B201" s="6">
        <v>4.0</v>
      </c>
      <c r="D201" s="6">
        <v>19.0</v>
      </c>
      <c r="E201" s="9">
        <f>45.22+200</f>
        <v>245.22</v>
      </c>
      <c r="F201" s="6">
        <v>2.0</v>
      </c>
      <c r="G201" s="10">
        <v>100.77</v>
      </c>
      <c r="H201" s="8">
        <v>21.3</v>
      </c>
      <c r="I201" s="6">
        <v>2196.4</v>
      </c>
      <c r="J201" s="9">
        <f t="shared" si="2"/>
        <v>2181.0252</v>
      </c>
      <c r="M201" s="11">
        <f>SUM(G200:G201)</f>
        <v>200.87</v>
      </c>
    </row>
    <row r="202">
      <c r="A202" s="5">
        <v>45671.0</v>
      </c>
      <c r="B202" s="6">
        <v>4.0</v>
      </c>
      <c r="D202" s="6">
        <v>20.0</v>
      </c>
      <c r="F202" s="6">
        <v>1.0</v>
      </c>
      <c r="G202" s="10">
        <v>100.36</v>
      </c>
      <c r="H202" s="8">
        <v>21.4</v>
      </c>
      <c r="I202" s="6">
        <v>2178.7</v>
      </c>
      <c r="J202" s="9">
        <f t="shared" si="2"/>
        <v>2163.4491</v>
      </c>
      <c r="K202" s="9">
        <f>AVERAGE(J202:J203)</f>
        <v>2168.5134</v>
      </c>
    </row>
    <row r="203">
      <c r="A203" s="5">
        <v>45671.0</v>
      </c>
      <c r="B203" s="6">
        <v>4.0</v>
      </c>
      <c r="D203" s="6">
        <v>20.0</v>
      </c>
      <c r="E203" s="9">
        <f>35.54+200</f>
        <v>235.54</v>
      </c>
      <c r="F203" s="6">
        <v>2.0</v>
      </c>
      <c r="G203" s="10">
        <v>100.36</v>
      </c>
      <c r="H203" s="8">
        <v>21.4</v>
      </c>
      <c r="I203" s="6">
        <v>2188.9</v>
      </c>
      <c r="J203" s="9">
        <f t="shared" si="2"/>
        <v>2173.5777</v>
      </c>
      <c r="M203" s="11">
        <f>SUM(G202:G203)</f>
        <v>200.72</v>
      </c>
    </row>
    <row r="204">
      <c r="A204" s="5">
        <v>45671.0</v>
      </c>
      <c r="B204" s="6">
        <v>4.0</v>
      </c>
      <c r="D204" s="6">
        <v>21.0</v>
      </c>
      <c r="F204" s="6">
        <v>1.0</v>
      </c>
      <c r="G204" s="10">
        <v>100.38</v>
      </c>
      <c r="H204" s="8">
        <v>21.4</v>
      </c>
      <c r="I204" s="6">
        <v>2185.1</v>
      </c>
      <c r="J204" s="9">
        <f t="shared" si="2"/>
        <v>2169.8043</v>
      </c>
      <c r="K204" s="9">
        <f>AVERAGE(J204:J205)</f>
        <v>2168.3148</v>
      </c>
    </row>
    <row r="205">
      <c r="A205" s="5">
        <v>45671.0</v>
      </c>
      <c r="B205" s="6">
        <v>4.0</v>
      </c>
      <c r="D205" s="6">
        <v>21.0</v>
      </c>
      <c r="E205" s="9">
        <f>43.77+200</f>
        <v>243.77</v>
      </c>
      <c r="F205" s="6">
        <v>2.0</v>
      </c>
      <c r="G205" s="10">
        <v>100.08</v>
      </c>
      <c r="H205" s="8">
        <v>21.3</v>
      </c>
      <c r="I205" s="6">
        <v>2182.1</v>
      </c>
      <c r="J205" s="9">
        <f t="shared" si="2"/>
        <v>2166.8253</v>
      </c>
      <c r="M205" s="11">
        <f>SUM(G204:G205)</f>
        <v>200.46</v>
      </c>
    </row>
    <row r="206">
      <c r="A206" s="5">
        <v>45671.0</v>
      </c>
      <c r="B206" s="6">
        <v>4.0</v>
      </c>
      <c r="D206" s="6">
        <v>22.0</v>
      </c>
      <c r="F206" s="6">
        <v>1.0</v>
      </c>
      <c r="G206" s="10">
        <v>100.29</v>
      </c>
      <c r="H206" s="8">
        <v>21.3</v>
      </c>
      <c r="I206" s="6">
        <v>2191.4</v>
      </c>
      <c r="J206" s="9">
        <f t="shared" si="2"/>
        <v>2176.0602</v>
      </c>
      <c r="K206" s="9">
        <f>AVERAGE(J206:J207)</f>
        <v>2177.59935</v>
      </c>
    </row>
    <row r="207">
      <c r="A207" s="5">
        <v>45671.0</v>
      </c>
      <c r="B207" s="6">
        <v>4.0</v>
      </c>
      <c r="D207" s="6">
        <v>22.0</v>
      </c>
      <c r="E207" s="9">
        <f>45.72+200</f>
        <v>245.72</v>
      </c>
      <c r="F207" s="6">
        <v>2.0</v>
      </c>
      <c r="G207" s="10">
        <v>100.31</v>
      </c>
      <c r="H207" s="8">
        <v>21.3</v>
      </c>
      <c r="I207" s="6">
        <v>2194.5</v>
      </c>
      <c r="J207" s="9">
        <f t="shared" si="2"/>
        <v>2179.1385</v>
      </c>
      <c r="M207" s="11">
        <f>SUM(G206:G207)</f>
        <v>200.6</v>
      </c>
    </row>
    <row r="208">
      <c r="A208" s="5">
        <v>45671.0</v>
      </c>
      <c r="B208" s="6">
        <v>4.0</v>
      </c>
      <c r="D208" s="6">
        <v>23.0</v>
      </c>
      <c r="F208" s="6">
        <v>1.0</v>
      </c>
      <c r="G208" s="10">
        <v>100.6</v>
      </c>
      <c r="H208" s="8">
        <v>21.5</v>
      </c>
      <c r="I208" s="6">
        <v>2188.7</v>
      </c>
      <c r="J208" s="9">
        <f t="shared" si="2"/>
        <v>2173.3791</v>
      </c>
      <c r="K208" s="9">
        <f>AVERAGE(J208:J209)</f>
        <v>2169.55605</v>
      </c>
    </row>
    <row r="209">
      <c r="A209" s="5">
        <v>45671.0</v>
      </c>
      <c r="B209" s="6">
        <v>4.0</v>
      </c>
      <c r="D209" s="6">
        <v>23.0</v>
      </c>
      <c r="E209" s="9">
        <f>44.1+200</f>
        <v>244.1</v>
      </c>
      <c r="F209" s="6">
        <v>2.0</v>
      </c>
      <c r="G209" s="10">
        <v>100.64</v>
      </c>
      <c r="H209" s="8">
        <v>21.5</v>
      </c>
      <c r="I209" s="6">
        <v>2181.0</v>
      </c>
      <c r="J209" s="9">
        <f t="shared" si="2"/>
        <v>2165.733</v>
      </c>
      <c r="M209" s="11">
        <f>SUM(G208:G209)</f>
        <v>201.24</v>
      </c>
    </row>
    <row r="210">
      <c r="A210" s="5">
        <v>45671.0</v>
      </c>
      <c r="B210" s="6">
        <v>4.0</v>
      </c>
      <c r="D210" s="6">
        <v>24.0</v>
      </c>
      <c r="F210" s="6">
        <v>1.0</v>
      </c>
      <c r="G210" s="10">
        <v>100.48</v>
      </c>
      <c r="H210" s="8">
        <v>21.4</v>
      </c>
      <c r="I210" s="6">
        <v>2148.6</v>
      </c>
      <c r="J210" s="9">
        <f t="shared" si="2"/>
        <v>2133.5598</v>
      </c>
      <c r="K210" s="9">
        <f>AVERAGE(J210:J211)</f>
        <v>2156.54775</v>
      </c>
    </row>
    <row r="211">
      <c r="A211" s="5">
        <v>45671.0</v>
      </c>
      <c r="B211" s="6">
        <v>4.0</v>
      </c>
      <c r="D211" s="6">
        <v>24.0</v>
      </c>
      <c r="E211" s="9">
        <f>41.2+200</f>
        <v>241.2</v>
      </c>
      <c r="F211" s="6">
        <v>2.0</v>
      </c>
      <c r="G211" s="10">
        <v>100.81</v>
      </c>
      <c r="H211" s="8">
        <v>21.5</v>
      </c>
      <c r="I211" s="6">
        <v>2194.9</v>
      </c>
      <c r="J211" s="9">
        <f t="shared" si="2"/>
        <v>2179.5357</v>
      </c>
      <c r="M211" s="11">
        <f>SUM(G210:G211)</f>
        <v>201.29</v>
      </c>
    </row>
    <row r="212">
      <c r="A212" s="5">
        <v>45671.0</v>
      </c>
      <c r="B212" s="6">
        <v>4.0</v>
      </c>
      <c r="D212" s="6">
        <v>25.0</v>
      </c>
      <c r="F212" s="6">
        <v>1.0</v>
      </c>
      <c r="G212" s="10">
        <v>100.68</v>
      </c>
      <c r="H212" s="8">
        <v>21.5</v>
      </c>
      <c r="I212" s="6">
        <v>2191.7</v>
      </c>
      <c r="J212" s="9">
        <f t="shared" si="2"/>
        <v>2176.3581</v>
      </c>
      <c r="K212" s="9">
        <f>AVERAGE(J212:J213)</f>
        <v>2175.71265</v>
      </c>
    </row>
    <row r="213">
      <c r="A213" s="5">
        <v>45671.0</v>
      </c>
      <c r="B213" s="6">
        <v>4.0</v>
      </c>
      <c r="D213" s="6">
        <v>25.0</v>
      </c>
      <c r="E213" s="9">
        <f>23.79+200</f>
        <v>223.79</v>
      </c>
      <c r="F213" s="6">
        <v>2.0</v>
      </c>
      <c r="G213" s="10">
        <v>100.74</v>
      </c>
      <c r="H213" s="8">
        <v>21.4</v>
      </c>
      <c r="I213" s="6">
        <v>2190.4</v>
      </c>
      <c r="J213" s="9">
        <f t="shared" si="2"/>
        <v>2175.0672</v>
      </c>
      <c r="M213" s="11">
        <f>SUM(G212:G213)</f>
        <v>201.42</v>
      </c>
    </row>
    <row r="214">
      <c r="A214" s="5">
        <v>45671.0</v>
      </c>
      <c r="B214" s="6">
        <v>4.0</v>
      </c>
      <c r="D214" s="6">
        <v>26.0</v>
      </c>
      <c r="F214" s="6">
        <v>1.0</v>
      </c>
      <c r="G214" s="10">
        <v>100.28</v>
      </c>
      <c r="H214" s="8">
        <v>21.4</v>
      </c>
      <c r="I214" s="6">
        <v>2194.1</v>
      </c>
      <c r="J214" s="9">
        <f t="shared" si="2"/>
        <v>2178.7413</v>
      </c>
      <c r="K214" s="9">
        <f>AVERAGE(J214:J215)</f>
        <v>2176.4574</v>
      </c>
    </row>
    <row r="215">
      <c r="A215" s="5">
        <v>45671.0</v>
      </c>
      <c r="B215" s="6">
        <v>4.0</v>
      </c>
      <c r="D215" s="6">
        <v>26.0</v>
      </c>
      <c r="E215" s="9">
        <f>42.49+200</f>
        <v>242.49</v>
      </c>
      <c r="F215" s="6">
        <v>2.0</v>
      </c>
      <c r="G215" s="10">
        <v>100.62</v>
      </c>
      <c r="H215" s="8">
        <v>21.3</v>
      </c>
      <c r="I215" s="6">
        <v>2189.5</v>
      </c>
      <c r="J215" s="9">
        <f t="shared" si="2"/>
        <v>2174.1735</v>
      </c>
      <c r="M215" s="11">
        <f>SUM(G214:G215)</f>
        <v>200.9</v>
      </c>
    </row>
    <row r="216">
      <c r="A216" s="5"/>
      <c r="G216" s="10"/>
      <c r="H216" s="8"/>
      <c r="N216" s="11"/>
    </row>
    <row r="217">
      <c r="A217" s="5"/>
      <c r="G217" s="10"/>
      <c r="H217" s="8"/>
      <c r="N217" s="11"/>
    </row>
    <row r="218">
      <c r="A218" s="5"/>
      <c r="G218" s="10"/>
      <c r="H218" s="8"/>
      <c r="N218" s="11"/>
    </row>
    <row r="219">
      <c r="A219" s="5"/>
      <c r="G219" s="10"/>
      <c r="H219" s="8"/>
      <c r="N219" s="11"/>
    </row>
    <row r="220">
      <c r="A220" s="5"/>
      <c r="G220" s="10"/>
      <c r="H220" s="8"/>
      <c r="N220" s="11"/>
    </row>
    <row r="221">
      <c r="A221" s="5"/>
      <c r="G221" s="10"/>
      <c r="H221" s="8"/>
      <c r="N221" s="11"/>
    </row>
    <row r="222">
      <c r="A222" s="5"/>
      <c r="G222" s="10"/>
      <c r="H222" s="8"/>
      <c r="N222" s="11"/>
    </row>
    <row r="223">
      <c r="A223" s="5"/>
      <c r="G223" s="10"/>
      <c r="H223" s="8"/>
      <c r="N223" s="11"/>
    </row>
    <row r="224">
      <c r="A224" s="5"/>
      <c r="G224" s="10"/>
      <c r="H224" s="8"/>
      <c r="N224" s="11"/>
    </row>
    <row r="225">
      <c r="A225" s="5"/>
      <c r="G225" s="10"/>
      <c r="H225" s="8"/>
      <c r="N225" s="11"/>
    </row>
    <row r="226">
      <c r="A226" s="5"/>
      <c r="G226" s="10"/>
      <c r="H226" s="8"/>
      <c r="N226" s="11"/>
    </row>
    <row r="227">
      <c r="A227" s="5"/>
      <c r="G227" s="10"/>
      <c r="H227" s="8"/>
      <c r="N227" s="11"/>
    </row>
    <row r="228">
      <c r="A228" s="5"/>
      <c r="G228" s="10"/>
      <c r="H228" s="8"/>
      <c r="N228" s="11"/>
    </row>
    <row r="229">
      <c r="A229" s="5"/>
      <c r="G229" s="10"/>
      <c r="H229" s="8"/>
      <c r="N229" s="11"/>
    </row>
    <row r="230">
      <c r="A230" s="5"/>
      <c r="G230" s="10"/>
      <c r="H230" s="8"/>
      <c r="N230" s="11"/>
    </row>
    <row r="231">
      <c r="A231" s="5"/>
      <c r="G231" s="10"/>
      <c r="H231" s="8"/>
      <c r="N231" s="11"/>
    </row>
    <row r="232">
      <c r="A232" s="5"/>
      <c r="G232" s="10"/>
      <c r="H232" s="8"/>
      <c r="N232" s="11"/>
    </row>
    <row r="233">
      <c r="A233" s="5"/>
      <c r="G233" s="10"/>
      <c r="H233" s="8"/>
      <c r="N233" s="11"/>
    </row>
    <row r="234">
      <c r="A234" s="5"/>
      <c r="G234" s="10"/>
      <c r="H234" s="8"/>
      <c r="N234" s="11"/>
    </row>
    <row r="235">
      <c r="A235" s="5"/>
      <c r="G235" s="10"/>
      <c r="H235" s="8"/>
      <c r="N235" s="11"/>
    </row>
    <row r="236">
      <c r="A236" s="5"/>
      <c r="G236" s="10"/>
      <c r="H236" s="8"/>
      <c r="N236" s="11"/>
    </row>
    <row r="237">
      <c r="A237" s="5"/>
      <c r="G237" s="10"/>
      <c r="H237" s="8"/>
      <c r="N237" s="11"/>
    </row>
    <row r="238">
      <c r="A238" s="5"/>
      <c r="G238" s="10"/>
      <c r="H238" s="8"/>
      <c r="N238" s="11"/>
    </row>
    <row r="239">
      <c r="A239" s="5"/>
      <c r="G239" s="10"/>
      <c r="H239" s="8"/>
      <c r="N239" s="11"/>
    </row>
    <row r="240">
      <c r="A240" s="5"/>
      <c r="G240" s="10"/>
      <c r="H240" s="8"/>
      <c r="N240" s="11"/>
    </row>
    <row r="241">
      <c r="A241" s="5"/>
      <c r="G241" s="10"/>
      <c r="H241" s="8"/>
      <c r="N241" s="11"/>
    </row>
    <row r="242">
      <c r="A242" s="5"/>
      <c r="G242" s="10"/>
      <c r="H242" s="8"/>
      <c r="N242" s="11"/>
    </row>
    <row r="243">
      <c r="A243" s="5"/>
      <c r="G243" s="10"/>
      <c r="H243" s="8"/>
      <c r="N243" s="11"/>
    </row>
    <row r="244">
      <c r="A244" s="5"/>
      <c r="G244" s="10"/>
      <c r="H244" s="8"/>
      <c r="N244" s="11"/>
    </row>
    <row r="245">
      <c r="A245" s="5"/>
      <c r="G245" s="10"/>
      <c r="H245" s="8"/>
      <c r="N245" s="11"/>
    </row>
    <row r="246">
      <c r="A246" s="5"/>
      <c r="G246" s="10"/>
      <c r="H246" s="8"/>
      <c r="N246" s="11"/>
    </row>
    <row r="247">
      <c r="A247" s="5"/>
      <c r="G247" s="10"/>
      <c r="H247" s="8"/>
      <c r="N247" s="11"/>
    </row>
    <row r="248">
      <c r="A248" s="5"/>
      <c r="G248" s="10"/>
      <c r="H248" s="8"/>
      <c r="N248" s="11"/>
    </row>
    <row r="249">
      <c r="A249" s="5"/>
      <c r="G249" s="10"/>
      <c r="H249" s="8"/>
      <c r="N249" s="11"/>
    </row>
    <row r="250">
      <c r="A250" s="5"/>
      <c r="G250" s="10"/>
      <c r="H250" s="8"/>
      <c r="N250" s="11"/>
    </row>
    <row r="251">
      <c r="A251" s="5"/>
      <c r="G251" s="10"/>
      <c r="H251" s="8"/>
      <c r="N251" s="11"/>
    </row>
    <row r="252">
      <c r="A252" s="5"/>
      <c r="D252" s="1"/>
      <c r="G252" s="10"/>
      <c r="H252" s="8"/>
      <c r="N252" s="11"/>
    </row>
    <row r="253">
      <c r="A253" s="5"/>
      <c r="D253" s="1"/>
      <c r="G253" s="10"/>
      <c r="H253" s="8"/>
      <c r="N253" s="11"/>
    </row>
    <row r="254">
      <c r="A254" s="5"/>
      <c r="D254" s="1"/>
      <c r="G254" s="10"/>
      <c r="H254" s="8"/>
      <c r="N254" s="11"/>
    </row>
    <row r="255">
      <c r="A255" s="5"/>
      <c r="G255" s="10"/>
      <c r="H255" s="8"/>
      <c r="N255" s="11"/>
    </row>
    <row r="256">
      <c r="A256" s="5"/>
      <c r="G256" s="10"/>
      <c r="H256" s="8"/>
      <c r="N256" s="11"/>
    </row>
    <row r="257">
      <c r="A257" s="5"/>
      <c r="G257" s="10"/>
      <c r="H257" s="8"/>
      <c r="N257" s="11"/>
    </row>
    <row r="258">
      <c r="A258" s="5"/>
      <c r="D258" s="13"/>
      <c r="G258" s="10"/>
      <c r="H258" s="8"/>
      <c r="N258" s="11"/>
    </row>
    <row r="259">
      <c r="A259" s="5"/>
      <c r="D259" s="13"/>
      <c r="G259" s="10"/>
      <c r="H259" s="8"/>
      <c r="N259" s="11"/>
    </row>
    <row r="260">
      <c r="A260" s="5"/>
      <c r="D260" s="13"/>
      <c r="G260" s="10"/>
      <c r="H260" s="8"/>
      <c r="N260" s="11"/>
    </row>
    <row r="261">
      <c r="A261" s="5"/>
      <c r="D261" s="13"/>
      <c r="G261" s="10"/>
      <c r="H261" s="8"/>
      <c r="N261" s="11"/>
    </row>
    <row r="262">
      <c r="A262" s="5"/>
      <c r="D262" s="13"/>
      <c r="G262" s="10"/>
      <c r="H262" s="8"/>
      <c r="N262" s="11"/>
    </row>
    <row r="263">
      <c r="A263" s="5"/>
      <c r="D263" s="13"/>
      <c r="G263" s="10"/>
      <c r="H263" s="8"/>
      <c r="N263" s="11"/>
    </row>
    <row r="264">
      <c r="A264" s="5"/>
      <c r="D264" s="13"/>
      <c r="G264" s="10"/>
      <c r="H264" s="8"/>
      <c r="N264" s="11"/>
    </row>
    <row r="265">
      <c r="A265" s="5"/>
      <c r="D265" s="13"/>
      <c r="G265" s="10"/>
      <c r="H265" s="8"/>
      <c r="N265" s="11"/>
    </row>
    <row r="266">
      <c r="A266" s="5"/>
      <c r="D266" s="13"/>
      <c r="G266" s="10"/>
      <c r="H266" s="8"/>
      <c r="N266" s="11"/>
    </row>
    <row r="267">
      <c r="A267" s="5"/>
      <c r="G267" s="10"/>
      <c r="H267" s="8"/>
      <c r="N267" s="11"/>
    </row>
    <row r="268">
      <c r="A268" s="5"/>
      <c r="G268" s="10"/>
      <c r="H268" s="8"/>
    </row>
    <row r="269">
      <c r="G269" s="10"/>
      <c r="H269" s="8"/>
    </row>
    <row r="270">
      <c r="A270" s="5"/>
      <c r="G270" s="10"/>
      <c r="H270" s="8"/>
    </row>
    <row r="271">
      <c r="A271" s="5"/>
      <c r="G271" s="10"/>
      <c r="H271" s="8"/>
    </row>
    <row r="272">
      <c r="A272" s="5"/>
      <c r="G272" s="10"/>
      <c r="H272" s="8"/>
    </row>
    <row r="273">
      <c r="A273" s="5"/>
      <c r="G273" s="10"/>
      <c r="H273" s="8"/>
    </row>
    <row r="274">
      <c r="A274" s="5"/>
      <c r="G274" s="10"/>
      <c r="H274" s="8"/>
    </row>
    <row r="275">
      <c r="A275" s="5"/>
      <c r="D275" s="13"/>
      <c r="G275" s="10"/>
      <c r="H275" s="8"/>
    </row>
    <row r="276">
      <c r="A276" s="5"/>
      <c r="D276" s="13"/>
      <c r="G276" s="10"/>
      <c r="H276" s="8"/>
    </row>
    <row r="277">
      <c r="A277" s="5"/>
      <c r="D277" s="13"/>
      <c r="G277" s="10"/>
      <c r="H277" s="8"/>
    </row>
    <row r="278">
      <c r="A278" s="5"/>
      <c r="D278" s="13"/>
      <c r="G278" s="10"/>
      <c r="H278" s="8"/>
    </row>
    <row r="279">
      <c r="A279" s="5"/>
      <c r="D279" s="13"/>
      <c r="G279" s="10"/>
      <c r="H279" s="8"/>
    </row>
    <row r="280">
      <c r="A280" s="5"/>
      <c r="D280" s="13"/>
      <c r="G280" s="10"/>
      <c r="H280" s="8"/>
    </row>
    <row r="281">
      <c r="A281" s="5"/>
      <c r="D281" s="13"/>
      <c r="G281" s="10"/>
      <c r="H281" s="8"/>
    </row>
    <row r="282">
      <c r="A282" s="5"/>
      <c r="D282" s="13"/>
      <c r="G282" s="10"/>
      <c r="H282" s="8"/>
    </row>
    <row r="283">
      <c r="A283" s="5"/>
      <c r="D283" s="13"/>
      <c r="G283" s="10"/>
      <c r="H283" s="8"/>
    </row>
    <row r="284">
      <c r="A284" s="5"/>
      <c r="D284" s="13"/>
      <c r="G284" s="10"/>
      <c r="H284" s="8"/>
    </row>
    <row r="285">
      <c r="A285" s="5"/>
      <c r="D285" s="13"/>
      <c r="G285" s="10"/>
      <c r="H285" s="8"/>
    </row>
    <row r="286">
      <c r="A286" s="5"/>
      <c r="D286" s="13"/>
      <c r="G286" s="10"/>
      <c r="H286" s="8"/>
    </row>
    <row r="287">
      <c r="A287" s="5"/>
      <c r="G287" s="10"/>
      <c r="H287" s="8"/>
      <c r="J287" s="22"/>
      <c r="K287" s="22"/>
    </row>
    <row r="288">
      <c r="A288" s="5"/>
      <c r="G288" s="10"/>
      <c r="H288" s="8"/>
    </row>
    <row r="289">
      <c r="A289" s="5"/>
      <c r="G289" s="10"/>
      <c r="H289" s="8"/>
    </row>
    <row r="290">
      <c r="A290" s="5"/>
      <c r="G290" s="10"/>
      <c r="H290" s="8"/>
    </row>
    <row r="291">
      <c r="A291" s="5"/>
      <c r="D291" s="1"/>
      <c r="G291" s="10"/>
      <c r="H291" s="8"/>
    </row>
    <row r="292">
      <c r="A292" s="5"/>
      <c r="D292" s="1"/>
      <c r="G292" s="10"/>
      <c r="H292" s="8"/>
    </row>
    <row r="293">
      <c r="A293" s="5"/>
      <c r="D293" s="1"/>
      <c r="G293" s="10"/>
      <c r="H293" s="8"/>
    </row>
    <row r="294">
      <c r="A294" s="5"/>
      <c r="G294" s="10"/>
      <c r="H294" s="8"/>
    </row>
    <row r="295">
      <c r="A295" s="5"/>
      <c r="G295" s="10"/>
      <c r="H295" s="8"/>
    </row>
    <row r="296">
      <c r="A296" s="5"/>
      <c r="G296" s="10"/>
      <c r="H296" s="8"/>
    </row>
    <row r="297">
      <c r="A297" s="5"/>
      <c r="G297" s="10"/>
      <c r="H297" s="8"/>
    </row>
    <row r="298">
      <c r="A298" s="5"/>
      <c r="G298" s="10"/>
      <c r="H298" s="8"/>
    </row>
    <row r="299">
      <c r="A299" s="5"/>
      <c r="G299" s="10"/>
      <c r="H299" s="8"/>
    </row>
    <row r="300">
      <c r="A300" s="5"/>
      <c r="G300" s="10"/>
      <c r="H300" s="8"/>
    </row>
    <row r="301">
      <c r="A301" s="5"/>
      <c r="G301" s="10"/>
      <c r="H301" s="8"/>
    </row>
    <row r="302">
      <c r="A302" s="5"/>
      <c r="G302" s="10"/>
      <c r="H302" s="8"/>
    </row>
    <row r="303">
      <c r="A303" s="5"/>
      <c r="G303" s="10"/>
      <c r="H303" s="8"/>
    </row>
    <row r="304">
      <c r="A304" s="5"/>
      <c r="G304" s="10"/>
      <c r="H304" s="8"/>
    </row>
    <row r="305">
      <c r="A305" s="5"/>
      <c r="G305" s="10"/>
      <c r="H305" s="8"/>
    </row>
    <row r="306">
      <c r="A306" s="5"/>
      <c r="G306" s="10"/>
      <c r="H306" s="8"/>
    </row>
    <row r="307">
      <c r="A307" s="5"/>
      <c r="G307" s="10"/>
      <c r="H307" s="8"/>
    </row>
    <row r="308">
      <c r="A308" s="5"/>
      <c r="G308" s="10"/>
      <c r="H308" s="8"/>
    </row>
    <row r="309">
      <c r="A309" s="5"/>
      <c r="G309" s="10"/>
      <c r="H309" s="8"/>
    </row>
    <row r="310">
      <c r="A310" s="5"/>
      <c r="G310" s="10"/>
      <c r="H310" s="8"/>
    </row>
    <row r="311">
      <c r="A311" s="5"/>
      <c r="G311" s="10"/>
      <c r="H311" s="8"/>
    </row>
    <row r="312">
      <c r="A312" s="5"/>
      <c r="G312" s="10"/>
      <c r="H312" s="8"/>
    </row>
    <row r="313">
      <c r="A313" s="5"/>
      <c r="G313" s="10"/>
      <c r="H313" s="8"/>
    </row>
    <row r="314">
      <c r="A314" s="5"/>
      <c r="G314" s="10"/>
      <c r="H314" s="8"/>
    </row>
    <row r="315">
      <c r="A315" s="5"/>
      <c r="G315" s="10"/>
      <c r="H315" s="8"/>
    </row>
    <row r="316">
      <c r="A316" s="5"/>
      <c r="G316" s="10"/>
      <c r="H316" s="8"/>
    </row>
    <row r="317">
      <c r="A317" s="5"/>
      <c r="G317" s="10"/>
      <c r="H317" s="8"/>
    </row>
    <row r="318">
      <c r="A318" s="5"/>
      <c r="G318" s="10"/>
      <c r="H318" s="8"/>
    </row>
    <row r="319">
      <c r="A319" s="5"/>
      <c r="G319" s="10"/>
      <c r="H319" s="8"/>
    </row>
    <row r="320">
      <c r="A320" s="5"/>
      <c r="G320" s="10"/>
      <c r="H320" s="8"/>
    </row>
    <row r="321">
      <c r="A321" s="5"/>
      <c r="G321" s="10"/>
      <c r="H321" s="8"/>
    </row>
    <row r="322">
      <c r="A322" s="5"/>
      <c r="G322" s="10"/>
      <c r="H322" s="8"/>
    </row>
    <row r="323">
      <c r="A323" s="5"/>
      <c r="G323" s="10"/>
      <c r="H323" s="8"/>
    </row>
    <row r="324">
      <c r="A324" s="5"/>
      <c r="G324" s="10"/>
      <c r="H324" s="8"/>
    </row>
    <row r="325">
      <c r="A325" s="5"/>
      <c r="G325" s="10"/>
      <c r="H325" s="8"/>
    </row>
    <row r="326">
      <c r="A326" s="5"/>
      <c r="G326" s="10"/>
      <c r="H326" s="8"/>
    </row>
    <row r="327">
      <c r="A327" s="5"/>
      <c r="G327" s="10"/>
      <c r="H327" s="8"/>
    </row>
    <row r="328">
      <c r="A328" s="5"/>
      <c r="G328" s="10"/>
      <c r="H328" s="8"/>
    </row>
    <row r="329">
      <c r="A329" s="5"/>
      <c r="G329" s="10"/>
      <c r="H329" s="23"/>
    </row>
    <row r="336">
      <c r="A336" s="5"/>
      <c r="G336" s="10"/>
      <c r="H336" s="8"/>
    </row>
    <row r="339">
      <c r="A339" s="5"/>
      <c r="G339" s="10"/>
      <c r="H339" s="8"/>
    </row>
    <row r="342">
      <c r="A342" s="5"/>
      <c r="G342" s="10"/>
      <c r="H342" s="8"/>
    </row>
    <row r="346">
      <c r="A346" s="5"/>
      <c r="G346" s="10"/>
      <c r="H346" s="8"/>
    </row>
    <row r="347">
      <c r="A347" s="5"/>
      <c r="G347" s="10"/>
      <c r="H347" s="8"/>
    </row>
    <row r="348">
      <c r="A348" s="5"/>
      <c r="G348" s="10"/>
      <c r="H348" s="8"/>
    </row>
    <row r="349">
      <c r="A349" s="5"/>
      <c r="G349" s="10"/>
      <c r="H349" s="8"/>
    </row>
    <row r="350">
      <c r="A350" s="5"/>
      <c r="G350" s="10"/>
      <c r="H350" s="8"/>
    </row>
    <row r="351">
      <c r="A351" s="5"/>
      <c r="G351" s="10"/>
      <c r="H351" s="8"/>
    </row>
    <row r="352">
      <c r="A352" s="5"/>
      <c r="G352" s="10"/>
      <c r="H352" s="8"/>
    </row>
    <row r="353">
      <c r="A353" s="5"/>
      <c r="G353" s="10"/>
      <c r="H353" s="23"/>
    </row>
    <row r="354">
      <c r="A354" s="5"/>
      <c r="G354" s="10"/>
      <c r="H354" s="8"/>
    </row>
    <row r="355">
      <c r="A355" s="5"/>
      <c r="G355" s="10"/>
      <c r="H355" s="8"/>
    </row>
    <row r="356">
      <c r="A356" s="5"/>
      <c r="G356" s="10"/>
      <c r="H356" s="8"/>
    </row>
    <row r="357">
      <c r="A357" s="5"/>
      <c r="D357" s="1"/>
      <c r="G357" s="10"/>
      <c r="H357" s="8"/>
    </row>
    <row r="358">
      <c r="A358" s="5"/>
      <c r="D358" s="1"/>
      <c r="G358" s="10"/>
      <c r="H358" s="8"/>
    </row>
    <row r="359">
      <c r="A359" s="5"/>
      <c r="D359" s="1"/>
      <c r="G359" s="10"/>
      <c r="H359" s="8"/>
    </row>
    <row r="360">
      <c r="A360" s="5"/>
      <c r="G360" s="10"/>
      <c r="H360" s="8"/>
    </row>
    <row r="361">
      <c r="A361" s="5"/>
      <c r="G361" s="10"/>
      <c r="H361" s="8"/>
    </row>
    <row r="362">
      <c r="A362" s="5"/>
      <c r="G362" s="10"/>
      <c r="H362" s="8"/>
    </row>
    <row r="363">
      <c r="A363" s="5"/>
      <c r="G363" s="10"/>
      <c r="H363" s="8"/>
    </row>
    <row r="364">
      <c r="A364" s="5"/>
      <c r="G364" s="10"/>
      <c r="H364" s="8"/>
    </row>
    <row r="365">
      <c r="A365" s="5"/>
      <c r="G365" s="10"/>
      <c r="H365" s="8"/>
    </row>
    <row r="366">
      <c r="A366" s="5"/>
      <c r="G366" s="10"/>
      <c r="H366" s="8"/>
    </row>
    <row r="367">
      <c r="A367" s="5"/>
      <c r="G367" s="10"/>
      <c r="H367" s="8"/>
    </row>
    <row r="368">
      <c r="A368" s="5"/>
      <c r="G368" s="10"/>
      <c r="H368" s="23"/>
    </row>
    <row r="369">
      <c r="A369" s="5"/>
      <c r="G369" s="10"/>
      <c r="H369" s="8"/>
    </row>
    <row r="370">
      <c r="A370" s="5"/>
      <c r="G370" s="10"/>
      <c r="H370" s="8"/>
    </row>
    <row r="371">
      <c r="A371" s="5"/>
      <c r="G371" s="10"/>
      <c r="H371" s="8"/>
    </row>
    <row r="372">
      <c r="A372" s="5"/>
      <c r="G372" s="10"/>
      <c r="H372" s="8"/>
    </row>
    <row r="373">
      <c r="A373" s="5"/>
      <c r="G373" s="10"/>
      <c r="H373" s="8"/>
    </row>
    <row r="374">
      <c r="A374" s="5"/>
      <c r="G374" s="10"/>
      <c r="H374" s="23"/>
    </row>
    <row r="375">
      <c r="G375" s="11"/>
      <c r="H375" s="23"/>
    </row>
    <row r="376">
      <c r="G376" s="11"/>
      <c r="H376" s="23"/>
    </row>
    <row r="377">
      <c r="G377" s="11"/>
      <c r="H377" s="23"/>
    </row>
    <row r="378">
      <c r="G378" s="11"/>
      <c r="H378" s="23"/>
    </row>
    <row r="379">
      <c r="G379" s="11"/>
      <c r="H379" s="23"/>
    </row>
    <row r="380">
      <c r="G380" s="11"/>
      <c r="H380" s="23"/>
    </row>
    <row r="381">
      <c r="G381" s="11"/>
      <c r="H381" s="23"/>
    </row>
    <row r="382">
      <c r="G382" s="11"/>
      <c r="H382" s="23"/>
    </row>
    <row r="383">
      <c r="G383" s="11"/>
      <c r="H383" s="23"/>
    </row>
    <row r="384">
      <c r="G384" s="11"/>
      <c r="H384" s="23"/>
    </row>
    <row r="385">
      <c r="G385" s="11"/>
      <c r="H385" s="23"/>
    </row>
    <row r="386">
      <c r="G386" s="11"/>
      <c r="H386" s="23"/>
    </row>
    <row r="387">
      <c r="G387" s="11"/>
      <c r="H387" s="23"/>
    </row>
    <row r="388">
      <c r="G388" s="11"/>
      <c r="H388" s="23"/>
    </row>
    <row r="389">
      <c r="G389" s="11"/>
      <c r="H389" s="23"/>
    </row>
    <row r="390">
      <c r="G390" s="11"/>
      <c r="H390" s="23"/>
    </row>
    <row r="391">
      <c r="G391" s="11"/>
      <c r="H391" s="23"/>
    </row>
    <row r="392">
      <c r="G392" s="11"/>
      <c r="H392" s="23"/>
    </row>
    <row r="393">
      <c r="G393" s="11"/>
      <c r="H393" s="23"/>
    </row>
    <row r="394">
      <c r="G394" s="11"/>
      <c r="H394" s="23"/>
    </row>
    <row r="395">
      <c r="G395" s="11"/>
      <c r="H395" s="23"/>
    </row>
    <row r="396">
      <c r="G396" s="11"/>
      <c r="H396" s="23"/>
    </row>
    <row r="397">
      <c r="G397" s="11"/>
      <c r="H397" s="23"/>
    </row>
    <row r="398">
      <c r="G398" s="11"/>
      <c r="H398" s="23"/>
    </row>
    <row r="399">
      <c r="G399" s="11"/>
      <c r="H399" s="23"/>
    </row>
    <row r="400">
      <c r="G400" s="11"/>
      <c r="H400" s="23"/>
    </row>
    <row r="401">
      <c r="G401" s="11"/>
      <c r="H401" s="23"/>
    </row>
    <row r="402">
      <c r="G402" s="11"/>
      <c r="H402" s="23"/>
    </row>
    <row r="403">
      <c r="G403" s="11"/>
      <c r="H403" s="23"/>
    </row>
    <row r="404">
      <c r="G404" s="11"/>
      <c r="H404" s="23"/>
    </row>
    <row r="405">
      <c r="G405" s="11"/>
      <c r="H405" s="23"/>
    </row>
    <row r="406">
      <c r="G406" s="11"/>
      <c r="H406" s="23"/>
    </row>
    <row r="407">
      <c r="G407" s="11"/>
      <c r="H407" s="23"/>
    </row>
    <row r="408">
      <c r="G408" s="11"/>
      <c r="H408" s="23"/>
    </row>
    <row r="409">
      <c r="G409" s="11"/>
      <c r="H409" s="23"/>
    </row>
    <row r="410">
      <c r="G410" s="11"/>
      <c r="H410" s="23"/>
    </row>
    <row r="411">
      <c r="G411" s="11"/>
      <c r="H411" s="23"/>
    </row>
    <row r="412">
      <c r="G412" s="11"/>
      <c r="H412" s="23"/>
    </row>
    <row r="413">
      <c r="G413" s="11"/>
      <c r="H413" s="23"/>
    </row>
    <row r="414">
      <c r="G414" s="11"/>
      <c r="H414" s="23"/>
    </row>
    <row r="415">
      <c r="G415" s="11"/>
      <c r="H415" s="23"/>
    </row>
    <row r="416">
      <c r="G416" s="11"/>
      <c r="H416" s="23"/>
    </row>
    <row r="417">
      <c r="G417" s="11"/>
      <c r="H417" s="23"/>
    </row>
    <row r="418">
      <c r="G418" s="11"/>
      <c r="H418" s="23"/>
    </row>
    <row r="419">
      <c r="G419" s="11"/>
      <c r="H419" s="23"/>
    </row>
    <row r="420">
      <c r="G420" s="11"/>
      <c r="H420" s="23"/>
    </row>
    <row r="421">
      <c r="G421" s="11"/>
      <c r="H421" s="23"/>
    </row>
    <row r="422">
      <c r="G422" s="11"/>
      <c r="H422" s="23"/>
    </row>
    <row r="423">
      <c r="G423" s="11"/>
      <c r="H423" s="23"/>
    </row>
    <row r="424">
      <c r="G424" s="11"/>
      <c r="H424" s="23"/>
    </row>
    <row r="425">
      <c r="G425" s="11"/>
      <c r="H425" s="23"/>
    </row>
    <row r="426">
      <c r="G426" s="11"/>
      <c r="H426" s="23"/>
    </row>
    <row r="427">
      <c r="G427" s="11"/>
      <c r="H427" s="23"/>
    </row>
    <row r="428">
      <c r="G428" s="11"/>
      <c r="H428" s="23"/>
    </row>
    <row r="429">
      <c r="G429" s="11"/>
      <c r="H429" s="23"/>
    </row>
    <row r="430">
      <c r="G430" s="11"/>
      <c r="H430" s="23"/>
    </row>
    <row r="431">
      <c r="G431" s="11"/>
      <c r="H431" s="23"/>
    </row>
    <row r="432">
      <c r="G432" s="11"/>
      <c r="H432" s="23"/>
    </row>
    <row r="433">
      <c r="G433" s="11"/>
      <c r="H433" s="23"/>
    </row>
    <row r="434">
      <c r="G434" s="11"/>
      <c r="H434" s="23"/>
    </row>
    <row r="435">
      <c r="G435" s="11"/>
      <c r="H435" s="23"/>
    </row>
    <row r="436">
      <c r="G436" s="11"/>
      <c r="H436" s="23"/>
    </row>
    <row r="437">
      <c r="G437" s="11"/>
      <c r="H437" s="23"/>
    </row>
    <row r="438">
      <c r="G438" s="11"/>
      <c r="H438" s="23"/>
    </row>
    <row r="439">
      <c r="G439" s="11"/>
      <c r="H439" s="23"/>
    </row>
    <row r="440">
      <c r="G440" s="11"/>
      <c r="H440" s="23"/>
    </row>
    <row r="441">
      <c r="G441" s="11"/>
      <c r="H441" s="23"/>
    </row>
    <row r="442">
      <c r="G442" s="11"/>
      <c r="H442" s="23"/>
    </row>
    <row r="443">
      <c r="G443" s="11"/>
      <c r="H443" s="23"/>
    </row>
    <row r="444">
      <c r="G444" s="11"/>
      <c r="H444" s="23"/>
    </row>
    <row r="445">
      <c r="G445" s="11"/>
      <c r="H445" s="23"/>
    </row>
    <row r="446">
      <c r="G446" s="11"/>
      <c r="H446" s="23"/>
    </row>
    <row r="447">
      <c r="G447" s="11"/>
      <c r="H447" s="23"/>
    </row>
    <row r="448">
      <c r="G448" s="11"/>
      <c r="H448" s="23"/>
    </row>
    <row r="449">
      <c r="G449" s="11"/>
      <c r="H449" s="23"/>
    </row>
    <row r="450">
      <c r="G450" s="11"/>
      <c r="H450" s="23"/>
    </row>
    <row r="451">
      <c r="G451" s="11"/>
      <c r="H451" s="23"/>
    </row>
    <row r="452">
      <c r="G452" s="11"/>
      <c r="H452" s="23"/>
    </row>
    <row r="453">
      <c r="G453" s="11"/>
      <c r="H453" s="23"/>
    </row>
    <row r="454">
      <c r="G454" s="11"/>
      <c r="H454" s="23"/>
    </row>
    <row r="455">
      <c r="G455" s="11"/>
      <c r="H455" s="23"/>
    </row>
    <row r="456">
      <c r="G456" s="11"/>
      <c r="H456" s="23"/>
    </row>
    <row r="457">
      <c r="G457" s="11"/>
      <c r="H457" s="23"/>
    </row>
    <row r="458">
      <c r="G458" s="11"/>
      <c r="H458" s="23"/>
    </row>
    <row r="459">
      <c r="G459" s="11"/>
      <c r="H459" s="23"/>
    </row>
    <row r="460">
      <c r="G460" s="11"/>
      <c r="H460" s="23"/>
    </row>
    <row r="461">
      <c r="G461" s="11"/>
      <c r="H461" s="23"/>
    </row>
    <row r="462">
      <c r="G462" s="11"/>
      <c r="H462" s="23"/>
    </row>
    <row r="463">
      <c r="G463" s="11"/>
      <c r="H463" s="23"/>
    </row>
    <row r="464">
      <c r="G464" s="11"/>
      <c r="H464" s="23"/>
    </row>
    <row r="465">
      <c r="G465" s="11"/>
      <c r="H465" s="23"/>
    </row>
    <row r="466">
      <c r="G466" s="11"/>
      <c r="H466" s="23"/>
    </row>
    <row r="467">
      <c r="G467" s="11"/>
      <c r="H467" s="23"/>
    </row>
    <row r="468">
      <c r="G468" s="11"/>
      <c r="H468" s="23"/>
    </row>
    <row r="469">
      <c r="G469" s="11"/>
      <c r="H469" s="23"/>
    </row>
    <row r="470">
      <c r="G470" s="11"/>
      <c r="H470" s="23"/>
    </row>
    <row r="471">
      <c r="G471" s="11"/>
      <c r="H471" s="23"/>
    </row>
    <row r="472">
      <c r="G472" s="11"/>
      <c r="H472" s="23"/>
    </row>
    <row r="473">
      <c r="G473" s="11"/>
      <c r="H473" s="23"/>
    </row>
    <row r="474">
      <c r="G474" s="11"/>
      <c r="H474" s="23"/>
    </row>
    <row r="475">
      <c r="G475" s="11"/>
      <c r="H475" s="23"/>
    </row>
    <row r="476">
      <c r="G476" s="11"/>
      <c r="H476" s="23"/>
    </row>
    <row r="477">
      <c r="G477" s="11"/>
      <c r="H477" s="23"/>
    </row>
    <row r="478">
      <c r="G478" s="11"/>
      <c r="H478" s="23"/>
    </row>
    <row r="479">
      <c r="G479" s="11"/>
      <c r="H479" s="23"/>
    </row>
    <row r="480">
      <c r="G480" s="11"/>
      <c r="H480" s="23"/>
    </row>
    <row r="481">
      <c r="G481" s="11"/>
      <c r="H481" s="23"/>
    </row>
    <row r="482">
      <c r="G482" s="11"/>
      <c r="H482" s="23"/>
    </row>
    <row r="483">
      <c r="G483" s="11"/>
      <c r="H483" s="23"/>
    </row>
    <row r="484">
      <c r="G484" s="11"/>
      <c r="H484" s="23"/>
    </row>
    <row r="485">
      <c r="G485" s="11"/>
      <c r="H485" s="23"/>
    </row>
    <row r="486">
      <c r="G486" s="11"/>
      <c r="H486" s="23"/>
    </row>
    <row r="487">
      <c r="G487" s="11"/>
      <c r="H487" s="23"/>
    </row>
    <row r="488">
      <c r="G488" s="11"/>
      <c r="H488" s="23"/>
    </row>
    <row r="489">
      <c r="G489" s="11"/>
      <c r="H489" s="23"/>
    </row>
    <row r="490">
      <c r="G490" s="11"/>
      <c r="H490" s="23"/>
    </row>
    <row r="491">
      <c r="G491" s="11"/>
      <c r="H491" s="23"/>
    </row>
    <row r="492">
      <c r="G492" s="11"/>
      <c r="H492" s="23"/>
    </row>
    <row r="493">
      <c r="G493" s="11"/>
      <c r="H493" s="23"/>
    </row>
    <row r="494">
      <c r="G494" s="11"/>
      <c r="H494" s="23"/>
    </row>
    <row r="495">
      <c r="G495" s="11"/>
      <c r="H495" s="23"/>
    </row>
    <row r="496">
      <c r="G496" s="11"/>
      <c r="H496" s="23"/>
    </row>
    <row r="497">
      <c r="G497" s="11"/>
      <c r="H497" s="23"/>
    </row>
    <row r="498">
      <c r="G498" s="11"/>
      <c r="H498" s="23"/>
    </row>
    <row r="499">
      <c r="G499" s="11"/>
      <c r="H499" s="23"/>
    </row>
    <row r="500">
      <c r="G500" s="11"/>
      <c r="H500" s="23"/>
    </row>
    <row r="501">
      <c r="G501" s="11"/>
      <c r="H501" s="23"/>
    </row>
    <row r="502">
      <c r="G502" s="11"/>
      <c r="H502" s="23"/>
    </row>
    <row r="503">
      <c r="G503" s="11"/>
      <c r="H503" s="23"/>
    </row>
    <row r="504">
      <c r="G504" s="11"/>
      <c r="H504" s="23"/>
    </row>
    <row r="505">
      <c r="G505" s="11"/>
      <c r="H505" s="23"/>
    </row>
    <row r="506">
      <c r="G506" s="11"/>
      <c r="H506" s="23"/>
    </row>
    <row r="507">
      <c r="G507" s="11"/>
      <c r="H507" s="23"/>
    </row>
    <row r="508">
      <c r="G508" s="11"/>
      <c r="H508" s="23"/>
    </row>
    <row r="509">
      <c r="G509" s="11"/>
      <c r="H509" s="23"/>
    </row>
    <row r="510">
      <c r="G510" s="11"/>
      <c r="H510" s="23"/>
    </row>
    <row r="511">
      <c r="G511" s="11"/>
      <c r="H511" s="23"/>
    </row>
    <row r="512">
      <c r="G512" s="11"/>
      <c r="H512" s="23"/>
    </row>
    <row r="513">
      <c r="G513" s="11"/>
      <c r="H513" s="23"/>
    </row>
    <row r="514">
      <c r="G514" s="11"/>
      <c r="H514" s="23"/>
    </row>
    <row r="515">
      <c r="G515" s="11"/>
      <c r="H515" s="23"/>
    </row>
    <row r="516">
      <c r="G516" s="11"/>
      <c r="H516" s="23"/>
    </row>
    <row r="517">
      <c r="G517" s="11"/>
      <c r="H517" s="23"/>
    </row>
    <row r="518">
      <c r="G518" s="11"/>
      <c r="H518" s="23"/>
    </row>
    <row r="519">
      <c r="G519" s="11"/>
      <c r="H519" s="23"/>
    </row>
    <row r="520">
      <c r="G520" s="11"/>
      <c r="H520" s="23"/>
    </row>
    <row r="521">
      <c r="G521" s="11"/>
      <c r="H521" s="23"/>
    </row>
    <row r="522">
      <c r="G522" s="11"/>
      <c r="H522" s="23"/>
    </row>
    <row r="523">
      <c r="G523" s="11"/>
      <c r="H523" s="23"/>
    </row>
    <row r="524">
      <c r="G524" s="11"/>
      <c r="H524" s="23"/>
    </row>
    <row r="525">
      <c r="G525" s="11"/>
      <c r="H525" s="23"/>
    </row>
    <row r="526">
      <c r="G526" s="11"/>
      <c r="H526" s="23"/>
    </row>
    <row r="527">
      <c r="G527" s="11"/>
      <c r="H527" s="23"/>
    </row>
    <row r="528">
      <c r="G528" s="11"/>
      <c r="H528" s="23"/>
    </row>
    <row r="529">
      <c r="G529" s="11"/>
      <c r="H529" s="23"/>
    </row>
    <row r="530">
      <c r="G530" s="11"/>
      <c r="H530" s="23"/>
    </row>
    <row r="531">
      <c r="G531" s="11"/>
      <c r="H531" s="23"/>
    </row>
    <row r="532">
      <c r="G532" s="11"/>
      <c r="H532" s="23"/>
    </row>
    <row r="533">
      <c r="G533" s="11"/>
      <c r="H533" s="23"/>
    </row>
    <row r="534">
      <c r="G534" s="11"/>
      <c r="H534" s="23"/>
    </row>
    <row r="535">
      <c r="G535" s="11"/>
      <c r="H535" s="23"/>
    </row>
    <row r="536">
      <c r="G536" s="11"/>
      <c r="H536" s="23"/>
    </row>
    <row r="537">
      <c r="G537" s="11"/>
      <c r="H537" s="23"/>
    </row>
    <row r="538">
      <c r="G538" s="11"/>
      <c r="H538" s="23"/>
    </row>
    <row r="539">
      <c r="G539" s="11"/>
      <c r="H539" s="23"/>
    </row>
    <row r="540">
      <c r="G540" s="11"/>
      <c r="H540" s="23"/>
    </row>
    <row r="541">
      <c r="G541" s="11"/>
      <c r="H541" s="23"/>
    </row>
    <row r="542">
      <c r="G542" s="11"/>
      <c r="H542" s="23"/>
    </row>
    <row r="543">
      <c r="G543" s="11"/>
      <c r="H543" s="23"/>
    </row>
    <row r="544">
      <c r="G544" s="11"/>
      <c r="H544" s="23"/>
    </row>
    <row r="545">
      <c r="G545" s="11"/>
      <c r="H545" s="23"/>
    </row>
    <row r="546">
      <c r="G546" s="11"/>
      <c r="H546" s="23"/>
    </row>
    <row r="547">
      <c r="G547" s="11"/>
      <c r="H547" s="23"/>
    </row>
    <row r="548">
      <c r="G548" s="11"/>
      <c r="H548" s="23"/>
    </row>
    <row r="549">
      <c r="G549" s="11"/>
      <c r="H549" s="23"/>
    </row>
    <row r="550">
      <c r="G550" s="11"/>
      <c r="H550" s="23"/>
    </row>
    <row r="551">
      <c r="G551" s="11"/>
      <c r="H551" s="23"/>
    </row>
    <row r="552">
      <c r="G552" s="11"/>
      <c r="H552" s="23"/>
    </row>
    <row r="553">
      <c r="G553" s="11"/>
      <c r="H553" s="23"/>
    </row>
    <row r="554">
      <c r="G554" s="11"/>
      <c r="H554" s="23"/>
    </row>
    <row r="555">
      <c r="G555" s="11"/>
      <c r="H555" s="23"/>
    </row>
    <row r="556">
      <c r="G556" s="11"/>
      <c r="H556" s="23"/>
    </row>
    <row r="557">
      <c r="G557" s="11"/>
      <c r="H557" s="23"/>
    </row>
    <row r="558">
      <c r="G558" s="11"/>
      <c r="H558" s="23"/>
    </row>
    <row r="559">
      <c r="G559" s="11"/>
      <c r="H559" s="23"/>
    </row>
    <row r="560">
      <c r="G560" s="11"/>
      <c r="H560" s="23"/>
    </row>
    <row r="561">
      <c r="G561" s="11"/>
      <c r="H561" s="23"/>
    </row>
    <row r="562">
      <c r="G562" s="11"/>
      <c r="H562" s="23"/>
    </row>
    <row r="563">
      <c r="G563" s="11"/>
      <c r="H563" s="23"/>
    </row>
    <row r="564">
      <c r="G564" s="11"/>
      <c r="H564" s="23"/>
    </row>
    <row r="565">
      <c r="G565" s="11"/>
      <c r="H565" s="23"/>
    </row>
    <row r="566">
      <c r="G566" s="11"/>
      <c r="H566" s="23"/>
    </row>
    <row r="567">
      <c r="G567" s="11"/>
      <c r="H567" s="23"/>
    </row>
    <row r="568">
      <c r="G568" s="11"/>
      <c r="H568" s="23"/>
    </row>
    <row r="569">
      <c r="G569" s="11"/>
      <c r="H569" s="23"/>
    </row>
    <row r="570">
      <c r="G570" s="11"/>
      <c r="H570" s="23"/>
    </row>
    <row r="571">
      <c r="G571" s="11"/>
      <c r="H571" s="23"/>
    </row>
    <row r="572">
      <c r="G572" s="11"/>
      <c r="H572" s="23"/>
    </row>
    <row r="573">
      <c r="G573" s="11"/>
      <c r="H573" s="23"/>
    </row>
    <row r="574">
      <c r="G574" s="11"/>
      <c r="H574" s="23"/>
    </row>
    <row r="575">
      <c r="G575" s="11"/>
      <c r="H575" s="23"/>
    </row>
    <row r="576">
      <c r="G576" s="11"/>
      <c r="H576" s="23"/>
    </row>
    <row r="577">
      <c r="G577" s="11"/>
      <c r="H577" s="23"/>
    </row>
    <row r="578">
      <c r="G578" s="11"/>
      <c r="H578" s="23"/>
    </row>
    <row r="579">
      <c r="G579" s="11"/>
      <c r="H579" s="23"/>
    </row>
    <row r="580">
      <c r="G580" s="11"/>
      <c r="H580" s="23"/>
    </row>
    <row r="581">
      <c r="G581" s="11"/>
      <c r="H581" s="23"/>
    </row>
    <row r="582">
      <c r="G582" s="11"/>
      <c r="H582" s="23"/>
    </row>
    <row r="583">
      <c r="G583" s="11"/>
      <c r="H583" s="23"/>
    </row>
    <row r="584">
      <c r="G584" s="11"/>
      <c r="H584" s="23"/>
    </row>
    <row r="585">
      <c r="G585" s="11"/>
      <c r="H585" s="23"/>
    </row>
    <row r="586">
      <c r="G586" s="11"/>
      <c r="H586" s="23"/>
    </row>
    <row r="587">
      <c r="G587" s="11"/>
      <c r="H587" s="23"/>
    </row>
    <row r="588">
      <c r="G588" s="11"/>
      <c r="H588" s="23"/>
    </row>
    <row r="589">
      <c r="G589" s="11"/>
      <c r="H589" s="23"/>
    </row>
    <row r="590">
      <c r="G590" s="11"/>
      <c r="H590" s="23"/>
    </row>
    <row r="591">
      <c r="G591" s="11"/>
      <c r="H591" s="23"/>
    </row>
    <row r="592">
      <c r="G592" s="11"/>
      <c r="H592" s="23"/>
    </row>
    <row r="593">
      <c r="G593" s="11"/>
      <c r="H593" s="23"/>
    </row>
    <row r="594">
      <c r="G594" s="11"/>
      <c r="H594" s="23"/>
    </row>
    <row r="595">
      <c r="G595" s="11"/>
      <c r="H595" s="23"/>
    </row>
    <row r="596">
      <c r="G596" s="11"/>
      <c r="H596" s="23"/>
    </row>
    <row r="597">
      <c r="G597" s="11"/>
      <c r="H597" s="23"/>
    </row>
    <row r="598">
      <c r="G598" s="11"/>
      <c r="H598" s="23"/>
    </row>
    <row r="599">
      <c r="G599" s="11"/>
      <c r="H599" s="23"/>
    </row>
    <row r="600">
      <c r="G600" s="11"/>
      <c r="H600" s="23"/>
    </row>
    <row r="601">
      <c r="G601" s="11"/>
      <c r="H601" s="23"/>
    </row>
    <row r="602">
      <c r="G602" s="11"/>
      <c r="H602" s="23"/>
    </row>
    <row r="603">
      <c r="G603" s="11"/>
      <c r="H603" s="23"/>
    </row>
    <row r="604">
      <c r="G604" s="11"/>
      <c r="H604" s="23"/>
    </row>
    <row r="605">
      <c r="G605" s="11"/>
      <c r="H605" s="23"/>
    </row>
    <row r="606">
      <c r="G606" s="11"/>
      <c r="H606" s="23"/>
    </row>
    <row r="607">
      <c r="G607" s="11"/>
      <c r="H607" s="23"/>
    </row>
    <row r="608">
      <c r="G608" s="11"/>
      <c r="H608" s="23"/>
    </row>
    <row r="609">
      <c r="G609" s="11"/>
      <c r="H609" s="23"/>
    </row>
    <row r="610">
      <c r="G610" s="11"/>
      <c r="H610" s="23"/>
    </row>
    <row r="611">
      <c r="G611" s="11"/>
      <c r="H611" s="23"/>
    </row>
    <row r="612">
      <c r="G612" s="11"/>
      <c r="H612" s="23"/>
    </row>
    <row r="613">
      <c r="G613" s="11"/>
      <c r="H613" s="23"/>
    </row>
    <row r="614">
      <c r="G614" s="11"/>
      <c r="H614" s="23"/>
    </row>
    <row r="615">
      <c r="G615" s="11"/>
      <c r="H615" s="23"/>
    </row>
    <row r="616">
      <c r="G616" s="11"/>
      <c r="H616" s="23"/>
    </row>
    <row r="617">
      <c r="G617" s="11"/>
      <c r="H617" s="23"/>
    </row>
    <row r="618">
      <c r="G618" s="11"/>
      <c r="H618" s="23"/>
    </row>
    <row r="619">
      <c r="G619" s="11"/>
      <c r="H619" s="23"/>
    </row>
    <row r="620">
      <c r="G620" s="11"/>
      <c r="H620" s="23"/>
    </row>
    <row r="621">
      <c r="G621" s="11"/>
      <c r="H621" s="23"/>
    </row>
    <row r="622">
      <c r="G622" s="11"/>
      <c r="H622" s="23"/>
    </row>
    <row r="623">
      <c r="G623" s="11"/>
      <c r="H623" s="23"/>
    </row>
    <row r="624">
      <c r="G624" s="11"/>
      <c r="H624" s="23"/>
    </row>
    <row r="625">
      <c r="G625" s="11"/>
      <c r="H625" s="23"/>
    </row>
    <row r="626">
      <c r="G626" s="11"/>
      <c r="H626" s="23"/>
    </row>
    <row r="627">
      <c r="G627" s="11"/>
      <c r="H627" s="23"/>
    </row>
    <row r="628">
      <c r="G628" s="11"/>
      <c r="H628" s="23"/>
    </row>
    <row r="629">
      <c r="G629" s="11"/>
      <c r="H629" s="23"/>
    </row>
    <row r="630">
      <c r="G630" s="11"/>
      <c r="H630" s="23"/>
    </row>
    <row r="631">
      <c r="G631" s="11"/>
      <c r="H631" s="23"/>
    </row>
    <row r="632">
      <c r="G632" s="11"/>
      <c r="H632" s="23"/>
    </row>
    <row r="633">
      <c r="G633" s="11"/>
      <c r="H633" s="23"/>
    </row>
    <row r="634">
      <c r="G634" s="11"/>
      <c r="H634" s="23"/>
    </row>
    <row r="635">
      <c r="G635" s="11"/>
      <c r="H635" s="23"/>
    </row>
    <row r="636">
      <c r="G636" s="11"/>
      <c r="H636" s="23"/>
    </row>
    <row r="637">
      <c r="G637" s="11"/>
      <c r="H637" s="23"/>
    </row>
    <row r="638">
      <c r="G638" s="11"/>
      <c r="H638" s="23"/>
    </row>
    <row r="639">
      <c r="G639" s="11"/>
      <c r="H639" s="23"/>
    </row>
    <row r="640">
      <c r="G640" s="11"/>
      <c r="H640" s="23"/>
    </row>
    <row r="641">
      <c r="G641" s="11"/>
      <c r="H641" s="23"/>
    </row>
    <row r="642">
      <c r="G642" s="11"/>
      <c r="H642" s="23"/>
    </row>
    <row r="643">
      <c r="G643" s="11"/>
      <c r="H643" s="23"/>
    </row>
    <row r="644">
      <c r="G644" s="11"/>
      <c r="H644" s="23"/>
    </row>
    <row r="645">
      <c r="G645" s="11"/>
      <c r="H645" s="23"/>
    </row>
    <row r="646">
      <c r="G646" s="11"/>
      <c r="H646" s="23"/>
    </row>
    <row r="647">
      <c r="G647" s="11"/>
      <c r="H647" s="23"/>
    </row>
    <row r="648">
      <c r="G648" s="11"/>
      <c r="H648" s="23"/>
    </row>
    <row r="649">
      <c r="G649" s="11"/>
      <c r="H649" s="23"/>
    </row>
    <row r="650">
      <c r="G650" s="11"/>
      <c r="H650" s="23"/>
    </row>
    <row r="651">
      <c r="G651" s="11"/>
      <c r="H651" s="23"/>
    </row>
    <row r="652">
      <c r="G652" s="11"/>
      <c r="H652" s="23"/>
    </row>
    <row r="653">
      <c r="G653" s="11"/>
      <c r="H653" s="23"/>
    </row>
    <row r="654">
      <c r="G654" s="11"/>
      <c r="H654" s="23"/>
    </row>
    <row r="655">
      <c r="G655" s="11"/>
      <c r="H655" s="23"/>
    </row>
    <row r="656">
      <c r="G656" s="11"/>
      <c r="H656" s="23"/>
    </row>
    <row r="657">
      <c r="G657" s="11"/>
      <c r="H657" s="23"/>
    </row>
    <row r="658">
      <c r="G658" s="11"/>
      <c r="H658" s="23"/>
    </row>
    <row r="659">
      <c r="G659" s="11"/>
      <c r="H659" s="23"/>
    </row>
    <row r="660">
      <c r="G660" s="11"/>
      <c r="H660" s="23"/>
    </row>
    <row r="661">
      <c r="G661" s="11"/>
      <c r="H661" s="23"/>
    </row>
    <row r="662">
      <c r="G662" s="11"/>
      <c r="H662" s="23"/>
    </row>
    <row r="663">
      <c r="G663" s="11"/>
      <c r="H663" s="23"/>
    </row>
    <row r="664">
      <c r="G664" s="11"/>
      <c r="H664" s="23"/>
    </row>
    <row r="665">
      <c r="G665" s="11"/>
      <c r="H665" s="23"/>
    </row>
    <row r="666">
      <c r="G666" s="11"/>
      <c r="H666" s="23"/>
    </row>
    <row r="667">
      <c r="G667" s="11"/>
      <c r="H667" s="23"/>
    </row>
    <row r="668">
      <c r="G668" s="11"/>
      <c r="H668" s="23"/>
    </row>
    <row r="669">
      <c r="G669" s="11"/>
      <c r="H669" s="23"/>
    </row>
    <row r="670">
      <c r="G670" s="11"/>
      <c r="H670" s="23"/>
    </row>
    <row r="671">
      <c r="G671" s="11"/>
      <c r="H671" s="23"/>
    </row>
    <row r="672">
      <c r="G672" s="11"/>
      <c r="H672" s="23"/>
    </row>
    <row r="673">
      <c r="G673" s="11"/>
      <c r="H673" s="23"/>
    </row>
    <row r="674">
      <c r="G674" s="11"/>
      <c r="H674" s="23"/>
    </row>
    <row r="675">
      <c r="G675" s="11"/>
      <c r="H675" s="23"/>
    </row>
    <row r="676">
      <c r="G676" s="11"/>
      <c r="H676" s="23"/>
    </row>
    <row r="677">
      <c r="G677" s="11"/>
      <c r="H677" s="23"/>
    </row>
    <row r="678">
      <c r="G678" s="11"/>
      <c r="H678" s="23"/>
    </row>
    <row r="679">
      <c r="G679" s="11"/>
      <c r="H679" s="23"/>
    </row>
    <row r="680">
      <c r="G680" s="11"/>
      <c r="H680" s="23"/>
    </row>
    <row r="681">
      <c r="G681" s="11"/>
      <c r="H681" s="23"/>
    </row>
    <row r="682">
      <c r="G682" s="11"/>
      <c r="H682" s="23"/>
    </row>
    <row r="683">
      <c r="G683" s="11"/>
      <c r="H683" s="23"/>
    </row>
    <row r="684">
      <c r="G684" s="11"/>
      <c r="H684" s="23"/>
    </row>
    <row r="685">
      <c r="G685" s="11"/>
      <c r="H685" s="23"/>
    </row>
    <row r="686">
      <c r="G686" s="11"/>
      <c r="H686" s="23"/>
    </row>
    <row r="687">
      <c r="G687" s="11"/>
      <c r="H687" s="23"/>
    </row>
    <row r="688">
      <c r="G688" s="11"/>
      <c r="H688" s="23"/>
    </row>
    <row r="689">
      <c r="G689" s="11"/>
      <c r="H689" s="23"/>
    </row>
    <row r="690">
      <c r="G690" s="11"/>
      <c r="H690" s="23"/>
    </row>
    <row r="691">
      <c r="G691" s="11"/>
      <c r="H691" s="23"/>
    </row>
    <row r="692">
      <c r="G692" s="11"/>
      <c r="H692" s="23"/>
    </row>
    <row r="693">
      <c r="G693" s="11"/>
      <c r="H693" s="23"/>
    </row>
    <row r="694">
      <c r="G694" s="11"/>
      <c r="H694" s="23"/>
    </row>
    <row r="695">
      <c r="G695" s="11"/>
      <c r="H695" s="23"/>
    </row>
    <row r="696">
      <c r="G696" s="11"/>
      <c r="H696" s="23"/>
    </row>
    <row r="697">
      <c r="G697" s="11"/>
      <c r="H697" s="23"/>
    </row>
    <row r="698">
      <c r="G698" s="11"/>
      <c r="H698" s="23"/>
    </row>
    <row r="699">
      <c r="G699" s="11"/>
      <c r="H699" s="23"/>
    </row>
    <row r="700">
      <c r="G700" s="11"/>
      <c r="H700" s="23"/>
    </row>
    <row r="701">
      <c r="G701" s="11"/>
      <c r="H701" s="23"/>
    </row>
    <row r="702">
      <c r="G702" s="11"/>
      <c r="H702" s="23"/>
    </row>
    <row r="703">
      <c r="G703" s="11"/>
      <c r="H703" s="23"/>
    </row>
    <row r="704">
      <c r="G704" s="11"/>
      <c r="H704" s="23"/>
    </row>
    <row r="705">
      <c r="G705" s="11"/>
      <c r="H705" s="23"/>
    </row>
    <row r="706">
      <c r="G706" s="11"/>
      <c r="H706" s="23"/>
    </row>
    <row r="707">
      <c r="G707" s="11"/>
      <c r="H707" s="23"/>
    </row>
    <row r="708">
      <c r="G708" s="11"/>
      <c r="H708" s="23"/>
    </row>
    <row r="709">
      <c r="G709" s="11"/>
      <c r="H709" s="23"/>
    </row>
    <row r="710">
      <c r="G710" s="11"/>
      <c r="H710" s="23"/>
    </row>
    <row r="711">
      <c r="G711" s="11"/>
      <c r="H711" s="23"/>
    </row>
    <row r="712">
      <c r="G712" s="11"/>
      <c r="H712" s="23"/>
    </row>
    <row r="713">
      <c r="G713" s="11"/>
      <c r="H713" s="23"/>
    </row>
    <row r="714">
      <c r="G714" s="11"/>
      <c r="H714" s="23"/>
    </row>
    <row r="715">
      <c r="G715" s="11"/>
      <c r="H715" s="23"/>
    </row>
    <row r="716">
      <c r="G716" s="11"/>
      <c r="H716" s="23"/>
    </row>
    <row r="717">
      <c r="G717" s="11"/>
      <c r="H717" s="23"/>
    </row>
    <row r="718">
      <c r="G718" s="11"/>
      <c r="H718" s="23"/>
    </row>
    <row r="719">
      <c r="G719" s="11"/>
      <c r="H719" s="23"/>
    </row>
    <row r="720">
      <c r="G720" s="11"/>
      <c r="H720" s="23"/>
    </row>
    <row r="721">
      <c r="G721" s="11"/>
      <c r="H721" s="23"/>
    </row>
    <row r="722">
      <c r="G722" s="11"/>
      <c r="H722" s="23"/>
    </row>
    <row r="723">
      <c r="G723" s="11"/>
      <c r="H723" s="23"/>
    </row>
    <row r="724">
      <c r="G724" s="11"/>
      <c r="H724" s="23"/>
    </row>
    <row r="725">
      <c r="G725" s="11"/>
      <c r="H725" s="23"/>
    </row>
    <row r="726">
      <c r="G726" s="11"/>
      <c r="H726" s="23"/>
    </row>
    <row r="727">
      <c r="G727" s="11"/>
      <c r="H727" s="23"/>
    </row>
    <row r="728">
      <c r="G728" s="11"/>
      <c r="H728" s="23"/>
    </row>
    <row r="729">
      <c r="G729" s="11"/>
      <c r="H729" s="23"/>
    </row>
    <row r="730">
      <c r="G730" s="11"/>
      <c r="H730" s="23"/>
    </row>
    <row r="731">
      <c r="G731" s="11"/>
      <c r="H731" s="23"/>
    </row>
    <row r="732">
      <c r="G732" s="11"/>
      <c r="H732" s="23"/>
    </row>
    <row r="733">
      <c r="G733" s="11"/>
      <c r="H733" s="23"/>
    </row>
    <row r="734">
      <c r="G734" s="11"/>
      <c r="H734" s="23"/>
    </row>
    <row r="735">
      <c r="G735" s="11"/>
      <c r="H735" s="23"/>
    </row>
    <row r="736">
      <c r="G736" s="11"/>
      <c r="H736" s="23"/>
    </row>
    <row r="737">
      <c r="G737" s="11"/>
      <c r="H737" s="23"/>
    </row>
    <row r="738">
      <c r="G738" s="11"/>
      <c r="H738" s="23"/>
    </row>
    <row r="739">
      <c r="G739" s="11"/>
      <c r="H739" s="23"/>
    </row>
    <row r="740">
      <c r="G740" s="11"/>
      <c r="H740" s="23"/>
    </row>
    <row r="741">
      <c r="G741" s="11"/>
      <c r="H741" s="23"/>
    </row>
    <row r="742">
      <c r="G742" s="11"/>
      <c r="H742" s="23"/>
    </row>
    <row r="743">
      <c r="G743" s="11"/>
      <c r="H743" s="23"/>
    </row>
    <row r="744">
      <c r="G744" s="11"/>
      <c r="H744" s="23"/>
    </row>
    <row r="745">
      <c r="G745" s="11"/>
      <c r="H745" s="23"/>
    </row>
    <row r="746">
      <c r="G746" s="11"/>
      <c r="H746" s="23"/>
    </row>
    <row r="747">
      <c r="G747" s="11"/>
      <c r="H747" s="23"/>
    </row>
    <row r="748">
      <c r="G748" s="11"/>
      <c r="H748" s="23"/>
    </row>
    <row r="749">
      <c r="G749" s="11"/>
      <c r="H749" s="23"/>
    </row>
    <row r="750">
      <c r="G750" s="11"/>
      <c r="H750" s="23"/>
    </row>
    <row r="751">
      <c r="G751" s="11"/>
      <c r="H751" s="23"/>
    </row>
    <row r="752">
      <c r="G752" s="11"/>
      <c r="H752" s="23"/>
    </row>
    <row r="753">
      <c r="G753" s="11"/>
      <c r="H753" s="23"/>
    </row>
    <row r="754">
      <c r="G754" s="11"/>
      <c r="H754" s="23"/>
    </row>
    <row r="755">
      <c r="G755" s="11"/>
      <c r="H755" s="23"/>
    </row>
    <row r="756">
      <c r="G756" s="11"/>
      <c r="H756" s="23"/>
    </row>
    <row r="757">
      <c r="G757" s="11"/>
      <c r="H757" s="23"/>
    </row>
    <row r="758">
      <c r="G758" s="11"/>
      <c r="H758" s="23"/>
    </row>
    <row r="759">
      <c r="G759" s="11"/>
      <c r="H759" s="23"/>
    </row>
    <row r="760">
      <c r="G760" s="11"/>
      <c r="H760" s="23"/>
    </row>
    <row r="761">
      <c r="G761" s="11"/>
      <c r="H761" s="23"/>
    </row>
    <row r="762">
      <c r="G762" s="11"/>
      <c r="H762" s="23"/>
    </row>
    <row r="763">
      <c r="G763" s="11"/>
      <c r="H763" s="23"/>
    </row>
    <row r="764">
      <c r="G764" s="11"/>
      <c r="H764" s="23"/>
    </row>
    <row r="765">
      <c r="G765" s="11"/>
      <c r="H765" s="23"/>
    </row>
    <row r="766">
      <c r="G766" s="11"/>
      <c r="H766" s="23"/>
    </row>
    <row r="767">
      <c r="G767" s="11"/>
      <c r="H767" s="23"/>
    </row>
    <row r="768">
      <c r="G768" s="11"/>
      <c r="H768" s="23"/>
    </row>
    <row r="769">
      <c r="G769" s="11"/>
      <c r="H769" s="23"/>
    </row>
    <row r="770">
      <c r="G770" s="11"/>
      <c r="H770" s="23"/>
    </row>
    <row r="771">
      <c r="G771" s="11"/>
      <c r="H771" s="23"/>
    </row>
    <row r="772">
      <c r="G772" s="11"/>
      <c r="H772" s="23"/>
    </row>
    <row r="773">
      <c r="G773" s="11"/>
      <c r="H773" s="23"/>
    </row>
    <row r="774">
      <c r="G774" s="11"/>
      <c r="H774" s="23"/>
    </row>
    <row r="775">
      <c r="G775" s="11"/>
      <c r="H775" s="23"/>
    </row>
    <row r="776">
      <c r="G776" s="11"/>
      <c r="H776" s="23"/>
    </row>
    <row r="777">
      <c r="G777" s="11"/>
      <c r="H777" s="23"/>
    </row>
    <row r="778">
      <c r="G778" s="11"/>
      <c r="H778" s="23"/>
    </row>
    <row r="779">
      <c r="G779" s="11"/>
      <c r="H779" s="23"/>
    </row>
    <row r="780">
      <c r="G780" s="11"/>
      <c r="H780" s="23"/>
    </row>
    <row r="781">
      <c r="G781" s="11"/>
      <c r="H781" s="23"/>
    </row>
    <row r="782">
      <c r="G782" s="11"/>
      <c r="H782" s="23"/>
    </row>
    <row r="783">
      <c r="G783" s="11"/>
      <c r="H783" s="23"/>
    </row>
    <row r="784">
      <c r="G784" s="11"/>
      <c r="H784" s="23"/>
    </row>
    <row r="785">
      <c r="G785" s="11"/>
      <c r="H785" s="23"/>
    </row>
    <row r="786">
      <c r="G786" s="11"/>
      <c r="H786" s="23"/>
    </row>
    <row r="787">
      <c r="G787" s="11"/>
      <c r="H787" s="23"/>
    </row>
    <row r="788">
      <c r="G788" s="11"/>
      <c r="H788" s="23"/>
    </row>
    <row r="789">
      <c r="G789" s="11"/>
      <c r="H789" s="23"/>
    </row>
    <row r="790">
      <c r="G790" s="11"/>
      <c r="H790" s="23"/>
    </row>
    <row r="791">
      <c r="G791" s="11"/>
      <c r="H791" s="23"/>
    </row>
    <row r="792">
      <c r="G792" s="11"/>
      <c r="H792" s="23"/>
    </row>
    <row r="793">
      <c r="G793" s="11"/>
      <c r="H793" s="23"/>
    </row>
    <row r="794">
      <c r="G794" s="11"/>
      <c r="H794" s="23"/>
    </row>
    <row r="795">
      <c r="G795" s="11"/>
      <c r="H795" s="23"/>
    </row>
    <row r="796">
      <c r="G796" s="11"/>
      <c r="H796" s="23"/>
    </row>
    <row r="797">
      <c r="G797" s="11"/>
      <c r="H797" s="23"/>
    </row>
    <row r="798">
      <c r="G798" s="11"/>
      <c r="H798" s="23"/>
    </row>
    <row r="799">
      <c r="G799" s="11"/>
      <c r="H799" s="23"/>
    </row>
    <row r="800">
      <c r="G800" s="11"/>
      <c r="H800" s="23"/>
    </row>
    <row r="801">
      <c r="G801" s="11"/>
      <c r="H801" s="23"/>
    </row>
    <row r="802">
      <c r="G802" s="11"/>
      <c r="H802" s="23"/>
    </row>
    <row r="803">
      <c r="G803" s="11"/>
      <c r="H803" s="23"/>
    </row>
    <row r="804">
      <c r="G804" s="11"/>
      <c r="H804" s="23"/>
    </row>
    <row r="805">
      <c r="G805" s="11"/>
      <c r="H805" s="23"/>
    </row>
    <row r="806">
      <c r="G806" s="11"/>
      <c r="H806" s="23"/>
    </row>
    <row r="807">
      <c r="G807" s="11"/>
      <c r="H807" s="23"/>
    </row>
    <row r="808">
      <c r="G808" s="11"/>
      <c r="H808" s="23"/>
    </row>
    <row r="809">
      <c r="G809" s="11"/>
      <c r="H809" s="23"/>
    </row>
    <row r="810">
      <c r="G810" s="11"/>
      <c r="H810" s="23"/>
    </row>
    <row r="811">
      <c r="G811" s="11"/>
      <c r="H811" s="23"/>
    </row>
    <row r="812">
      <c r="G812" s="11"/>
      <c r="H812" s="23"/>
    </row>
    <row r="813">
      <c r="G813" s="11"/>
      <c r="H813" s="23"/>
    </row>
    <row r="814">
      <c r="G814" s="11"/>
      <c r="H814" s="23"/>
    </row>
    <row r="815">
      <c r="G815" s="11"/>
      <c r="H815" s="23"/>
    </row>
    <row r="816">
      <c r="G816" s="11"/>
      <c r="H816" s="23"/>
    </row>
    <row r="817">
      <c r="G817" s="11"/>
      <c r="H817" s="23"/>
    </row>
    <row r="818">
      <c r="G818" s="11"/>
      <c r="H818" s="23"/>
    </row>
    <row r="819">
      <c r="G819" s="11"/>
      <c r="H819" s="23"/>
    </row>
    <row r="820">
      <c r="G820" s="11"/>
      <c r="H820" s="23"/>
    </row>
    <row r="821">
      <c r="G821" s="11"/>
      <c r="H821" s="23"/>
    </row>
    <row r="822">
      <c r="G822" s="11"/>
      <c r="H822" s="23"/>
    </row>
    <row r="823">
      <c r="G823" s="11"/>
      <c r="H823" s="23"/>
    </row>
    <row r="824">
      <c r="G824" s="11"/>
      <c r="H824" s="23"/>
    </row>
    <row r="825">
      <c r="G825" s="11"/>
      <c r="H825" s="23"/>
    </row>
    <row r="826">
      <c r="G826" s="11"/>
      <c r="H826" s="23"/>
    </row>
    <row r="827">
      <c r="G827" s="11"/>
      <c r="H827" s="23"/>
    </row>
    <row r="828">
      <c r="G828" s="11"/>
      <c r="H828" s="23"/>
    </row>
    <row r="829">
      <c r="G829" s="11"/>
      <c r="H829" s="23"/>
    </row>
    <row r="830">
      <c r="G830" s="11"/>
      <c r="H830" s="23"/>
    </row>
    <row r="831">
      <c r="G831" s="11"/>
      <c r="H831" s="23"/>
    </row>
    <row r="832">
      <c r="G832" s="11"/>
      <c r="H832" s="23"/>
    </row>
    <row r="833">
      <c r="G833" s="11"/>
      <c r="H833" s="23"/>
    </row>
    <row r="834">
      <c r="G834" s="11"/>
      <c r="H834" s="23"/>
    </row>
    <row r="835">
      <c r="G835" s="11"/>
      <c r="H835" s="23"/>
    </row>
    <row r="836">
      <c r="G836" s="11"/>
      <c r="H836" s="23"/>
    </row>
    <row r="837">
      <c r="G837" s="11"/>
      <c r="H837" s="23"/>
    </row>
    <row r="838">
      <c r="G838" s="11"/>
      <c r="H838" s="23"/>
    </row>
    <row r="839">
      <c r="G839" s="11"/>
      <c r="H839" s="23"/>
    </row>
    <row r="840">
      <c r="G840" s="11"/>
      <c r="H840" s="23"/>
    </row>
    <row r="841">
      <c r="G841" s="11"/>
      <c r="H841" s="23"/>
    </row>
    <row r="842">
      <c r="G842" s="11"/>
      <c r="H842" s="23"/>
    </row>
    <row r="843">
      <c r="G843" s="11"/>
      <c r="H843" s="23"/>
    </row>
    <row r="844">
      <c r="G844" s="11"/>
      <c r="H844" s="23"/>
    </row>
    <row r="845">
      <c r="G845" s="11"/>
      <c r="H845" s="23"/>
    </row>
    <row r="846">
      <c r="G846" s="11"/>
      <c r="H846" s="23"/>
    </row>
    <row r="847">
      <c r="G847" s="11"/>
      <c r="H847" s="23"/>
    </row>
    <row r="848">
      <c r="G848" s="11"/>
      <c r="H848" s="23"/>
    </row>
    <row r="849">
      <c r="G849" s="11"/>
      <c r="H849" s="23"/>
    </row>
    <row r="850">
      <c r="G850" s="11"/>
      <c r="H850" s="23"/>
    </row>
    <row r="851">
      <c r="G851" s="11"/>
      <c r="H851" s="23"/>
    </row>
    <row r="852">
      <c r="G852" s="11"/>
      <c r="H852" s="23"/>
    </row>
    <row r="853">
      <c r="G853" s="11"/>
      <c r="H853" s="23"/>
    </row>
    <row r="854">
      <c r="G854" s="11"/>
      <c r="H854" s="23"/>
    </row>
    <row r="855">
      <c r="G855" s="11"/>
      <c r="H855" s="23"/>
    </row>
    <row r="856">
      <c r="G856" s="11"/>
      <c r="H856" s="23"/>
    </row>
    <row r="857">
      <c r="G857" s="11"/>
      <c r="H857" s="23"/>
    </row>
    <row r="858">
      <c r="G858" s="11"/>
      <c r="H858" s="23"/>
    </row>
    <row r="859">
      <c r="G859" s="11"/>
      <c r="H859" s="23"/>
    </row>
    <row r="860">
      <c r="G860" s="11"/>
      <c r="H860" s="23"/>
    </row>
    <row r="861">
      <c r="G861" s="11"/>
      <c r="H861" s="23"/>
    </row>
    <row r="862">
      <c r="G862" s="11"/>
      <c r="H862" s="23"/>
    </row>
    <row r="863">
      <c r="G863" s="11"/>
      <c r="H863" s="23"/>
    </row>
    <row r="864">
      <c r="G864" s="11"/>
      <c r="H864" s="23"/>
    </row>
    <row r="865">
      <c r="G865" s="11"/>
      <c r="H865" s="23"/>
    </row>
    <row r="866">
      <c r="G866" s="11"/>
      <c r="H866" s="23"/>
    </row>
    <row r="867">
      <c r="G867" s="11"/>
      <c r="H867" s="23"/>
    </row>
    <row r="868">
      <c r="G868" s="11"/>
      <c r="H868" s="23"/>
    </row>
    <row r="869">
      <c r="G869" s="11"/>
      <c r="H869" s="23"/>
    </row>
    <row r="870">
      <c r="G870" s="11"/>
      <c r="H870" s="23"/>
    </row>
    <row r="871">
      <c r="G871" s="11"/>
      <c r="H871" s="23"/>
    </row>
    <row r="872">
      <c r="G872" s="11"/>
      <c r="H872" s="23"/>
    </row>
    <row r="873">
      <c r="G873" s="11"/>
      <c r="H873" s="23"/>
    </row>
    <row r="874">
      <c r="G874" s="11"/>
      <c r="H874" s="23"/>
    </row>
    <row r="875">
      <c r="G875" s="11"/>
      <c r="H875" s="23"/>
    </row>
    <row r="876">
      <c r="G876" s="11"/>
      <c r="H876" s="23"/>
    </row>
    <row r="877">
      <c r="G877" s="11"/>
      <c r="H877" s="23"/>
    </row>
    <row r="878">
      <c r="G878" s="11"/>
      <c r="H878" s="23"/>
    </row>
    <row r="879">
      <c r="G879" s="11"/>
      <c r="H879" s="23"/>
    </row>
    <row r="880">
      <c r="G880" s="11"/>
      <c r="H880" s="23"/>
    </row>
    <row r="881">
      <c r="G881" s="11"/>
      <c r="H881" s="23"/>
    </row>
    <row r="882">
      <c r="G882" s="11"/>
      <c r="H882" s="23"/>
    </row>
    <row r="883">
      <c r="G883" s="11"/>
      <c r="H883" s="23"/>
    </row>
    <row r="884">
      <c r="G884" s="11"/>
      <c r="H884" s="23"/>
    </row>
    <row r="885">
      <c r="G885" s="11"/>
      <c r="H885" s="23"/>
    </row>
    <row r="886">
      <c r="G886" s="11"/>
      <c r="H886" s="23"/>
    </row>
    <row r="887">
      <c r="G887" s="11"/>
      <c r="H887" s="23"/>
    </row>
    <row r="888">
      <c r="G888" s="11"/>
      <c r="H888" s="23"/>
    </row>
    <row r="889">
      <c r="G889" s="11"/>
      <c r="H889" s="23"/>
    </row>
    <row r="890">
      <c r="G890" s="11"/>
      <c r="H890" s="23"/>
    </row>
    <row r="891">
      <c r="G891" s="11"/>
      <c r="H891" s="23"/>
    </row>
    <row r="892">
      <c r="G892" s="11"/>
      <c r="H892" s="23"/>
    </row>
    <row r="893">
      <c r="G893" s="11"/>
      <c r="H893" s="23"/>
    </row>
    <row r="894">
      <c r="G894" s="11"/>
      <c r="H894" s="23"/>
    </row>
    <row r="895">
      <c r="G895" s="11"/>
      <c r="H895" s="23"/>
    </row>
    <row r="896">
      <c r="G896" s="11"/>
      <c r="H896" s="23"/>
    </row>
    <row r="897">
      <c r="G897" s="11"/>
      <c r="H897" s="23"/>
    </row>
    <row r="898">
      <c r="G898" s="11"/>
      <c r="H898" s="23"/>
    </row>
    <row r="899">
      <c r="G899" s="11"/>
      <c r="H899" s="23"/>
    </row>
    <row r="900">
      <c r="G900" s="11"/>
      <c r="H900" s="23"/>
    </row>
    <row r="901">
      <c r="G901" s="11"/>
      <c r="H901" s="23"/>
    </row>
    <row r="902">
      <c r="G902" s="11"/>
      <c r="H902" s="23"/>
    </row>
    <row r="903">
      <c r="G903" s="11"/>
      <c r="H903" s="23"/>
    </row>
    <row r="904">
      <c r="G904" s="11"/>
      <c r="H904" s="23"/>
    </row>
    <row r="905">
      <c r="G905" s="11"/>
      <c r="H905" s="23"/>
    </row>
    <row r="906">
      <c r="G906" s="11"/>
      <c r="H906" s="23"/>
    </row>
    <row r="907">
      <c r="G907" s="11"/>
      <c r="H907" s="23"/>
    </row>
    <row r="908">
      <c r="G908" s="11"/>
      <c r="H908" s="23"/>
    </row>
    <row r="909">
      <c r="G909" s="11"/>
      <c r="H909" s="23"/>
    </row>
    <row r="910">
      <c r="G910" s="11"/>
      <c r="H910" s="23"/>
    </row>
    <row r="911">
      <c r="G911" s="11"/>
      <c r="H911" s="23"/>
    </row>
    <row r="912">
      <c r="G912" s="11"/>
      <c r="H912" s="23"/>
    </row>
    <row r="913">
      <c r="G913" s="11"/>
      <c r="H913" s="23"/>
    </row>
    <row r="914">
      <c r="G914" s="11"/>
      <c r="H914" s="23"/>
    </row>
    <row r="915">
      <c r="G915" s="11"/>
      <c r="H915" s="23"/>
    </row>
    <row r="916">
      <c r="G916" s="11"/>
      <c r="H916" s="23"/>
    </row>
    <row r="917">
      <c r="G917" s="11"/>
      <c r="H917" s="23"/>
    </row>
    <row r="918">
      <c r="G918" s="11"/>
      <c r="H918" s="23"/>
    </row>
    <row r="919">
      <c r="G919" s="11"/>
      <c r="H919" s="23"/>
    </row>
    <row r="920">
      <c r="G920" s="11"/>
      <c r="H920" s="23"/>
    </row>
    <row r="921">
      <c r="G921" s="11"/>
      <c r="H921" s="23"/>
    </row>
    <row r="922">
      <c r="G922" s="11"/>
      <c r="H922" s="23"/>
    </row>
    <row r="923">
      <c r="G923" s="11"/>
      <c r="H923" s="23"/>
    </row>
    <row r="924">
      <c r="G924" s="11"/>
      <c r="H924" s="23"/>
    </row>
    <row r="925">
      <c r="G925" s="11"/>
      <c r="H925" s="23"/>
    </row>
    <row r="926">
      <c r="G926" s="11"/>
      <c r="H926" s="23"/>
    </row>
    <row r="927">
      <c r="G927" s="11"/>
      <c r="H927" s="23"/>
    </row>
    <row r="928">
      <c r="G928" s="11"/>
      <c r="H928" s="23"/>
    </row>
    <row r="929">
      <c r="G929" s="11"/>
      <c r="H929" s="23"/>
    </row>
    <row r="930">
      <c r="G930" s="11"/>
      <c r="H930" s="23"/>
    </row>
    <row r="931">
      <c r="G931" s="11"/>
      <c r="H931" s="23"/>
    </row>
    <row r="932">
      <c r="G932" s="11"/>
      <c r="H932" s="23"/>
    </row>
    <row r="933">
      <c r="G933" s="11"/>
      <c r="H933" s="23"/>
    </row>
    <row r="934">
      <c r="G934" s="11"/>
      <c r="H934" s="23"/>
    </row>
    <row r="935">
      <c r="G935" s="11"/>
      <c r="H935" s="23"/>
    </row>
    <row r="936">
      <c r="G936" s="11"/>
      <c r="H936" s="23"/>
    </row>
    <row r="937">
      <c r="G937" s="11"/>
      <c r="H937" s="23"/>
    </row>
    <row r="938">
      <c r="G938" s="11"/>
      <c r="H938" s="23"/>
    </row>
    <row r="939">
      <c r="G939" s="11"/>
      <c r="H939" s="23"/>
    </row>
    <row r="940">
      <c r="G940" s="11"/>
      <c r="H940" s="23"/>
    </row>
    <row r="941">
      <c r="G941" s="11"/>
      <c r="H941" s="23"/>
    </row>
    <row r="942">
      <c r="G942" s="11"/>
      <c r="H942" s="23"/>
    </row>
    <row r="943">
      <c r="G943" s="11"/>
      <c r="H943" s="23"/>
    </row>
    <row r="944">
      <c r="G944" s="11"/>
      <c r="H944" s="23"/>
    </row>
    <row r="945">
      <c r="G945" s="11"/>
      <c r="H945" s="23"/>
    </row>
    <row r="946">
      <c r="G946" s="11"/>
      <c r="H946" s="23"/>
    </row>
    <row r="947">
      <c r="G947" s="11"/>
      <c r="H947" s="23"/>
    </row>
    <row r="948">
      <c r="G948" s="11"/>
      <c r="H948" s="23"/>
    </row>
    <row r="949">
      <c r="G949" s="11"/>
      <c r="H949" s="23"/>
    </row>
    <row r="950">
      <c r="G950" s="11"/>
      <c r="H950" s="23"/>
    </row>
    <row r="951">
      <c r="G951" s="11"/>
      <c r="H951" s="23"/>
    </row>
    <row r="952">
      <c r="G952" s="11"/>
      <c r="H952" s="23"/>
    </row>
    <row r="953">
      <c r="G953" s="11"/>
      <c r="H953" s="23"/>
    </row>
    <row r="954">
      <c r="G954" s="11"/>
      <c r="H954" s="23"/>
    </row>
    <row r="955">
      <c r="G955" s="11"/>
      <c r="H955" s="23"/>
    </row>
    <row r="956">
      <c r="G956" s="11"/>
      <c r="H956" s="23"/>
    </row>
    <row r="957">
      <c r="G957" s="11"/>
      <c r="H957" s="23"/>
    </row>
    <row r="958">
      <c r="G958" s="11"/>
      <c r="H958" s="23"/>
    </row>
    <row r="959">
      <c r="G959" s="11"/>
      <c r="H959" s="23"/>
    </row>
    <row r="960">
      <c r="G960" s="11"/>
      <c r="H960" s="23"/>
    </row>
    <row r="961">
      <c r="G961" s="11"/>
      <c r="H961" s="23"/>
    </row>
    <row r="962">
      <c r="G962" s="11"/>
      <c r="H962" s="23"/>
    </row>
    <row r="963">
      <c r="G963" s="11"/>
      <c r="H963" s="23"/>
    </row>
    <row r="964">
      <c r="G964" s="11"/>
      <c r="H964" s="23"/>
    </row>
    <row r="965">
      <c r="G965" s="11"/>
      <c r="H965" s="23"/>
    </row>
    <row r="966">
      <c r="G966" s="11"/>
      <c r="H966" s="23"/>
    </row>
    <row r="967">
      <c r="G967" s="11"/>
      <c r="H967" s="23"/>
    </row>
    <row r="968">
      <c r="G968" s="11"/>
      <c r="H968" s="23"/>
    </row>
    <row r="969">
      <c r="G969" s="11"/>
      <c r="H969" s="23"/>
    </row>
    <row r="970">
      <c r="G970" s="11"/>
      <c r="H970" s="23"/>
    </row>
    <row r="971">
      <c r="G971" s="11"/>
      <c r="H971" s="23"/>
    </row>
    <row r="972">
      <c r="G972" s="11"/>
      <c r="H972" s="23"/>
    </row>
    <row r="973">
      <c r="G973" s="11"/>
      <c r="H973" s="23"/>
    </row>
    <row r="974">
      <c r="G974" s="11"/>
      <c r="H974" s="23"/>
    </row>
    <row r="975">
      <c r="G975" s="11"/>
      <c r="H975" s="23"/>
    </row>
    <row r="976">
      <c r="G976" s="11"/>
      <c r="H976" s="23"/>
    </row>
    <row r="977">
      <c r="G977" s="11"/>
      <c r="H977" s="23"/>
    </row>
    <row r="978">
      <c r="G978" s="11"/>
      <c r="H978" s="23"/>
    </row>
    <row r="979">
      <c r="G979" s="11"/>
      <c r="H979" s="23"/>
    </row>
    <row r="980">
      <c r="G980" s="11"/>
      <c r="H980" s="23"/>
    </row>
    <row r="981">
      <c r="G981" s="11"/>
      <c r="H981" s="23"/>
    </row>
    <row r="982">
      <c r="G982" s="11"/>
      <c r="H982" s="23"/>
    </row>
    <row r="983">
      <c r="G983" s="11"/>
      <c r="H983" s="23"/>
    </row>
    <row r="984">
      <c r="G984" s="11"/>
      <c r="H984" s="23"/>
    </row>
    <row r="985">
      <c r="G985" s="11"/>
      <c r="H985" s="23"/>
    </row>
    <row r="986">
      <c r="G986" s="11"/>
      <c r="H986" s="23"/>
    </row>
    <row r="987">
      <c r="G987" s="11"/>
      <c r="H987" s="23"/>
    </row>
    <row r="988">
      <c r="G988" s="11"/>
      <c r="H988" s="23"/>
    </row>
    <row r="989">
      <c r="G989" s="11"/>
      <c r="H989" s="23"/>
    </row>
    <row r="990">
      <c r="G990" s="11"/>
      <c r="H990" s="23"/>
    </row>
    <row r="991">
      <c r="G991" s="11"/>
      <c r="H991" s="23"/>
    </row>
    <row r="992">
      <c r="G992" s="11"/>
      <c r="H992" s="23"/>
    </row>
    <row r="993">
      <c r="G993" s="11"/>
      <c r="H993" s="23"/>
    </row>
    <row r="994">
      <c r="G994" s="11"/>
      <c r="H994" s="23"/>
    </row>
    <row r="995">
      <c r="G995" s="11"/>
      <c r="H995" s="23"/>
    </row>
    <row r="996">
      <c r="G996" s="11"/>
      <c r="H996" s="23"/>
    </row>
    <row r="997">
      <c r="G997" s="11"/>
      <c r="H997" s="23"/>
    </row>
    <row r="998">
      <c r="G998" s="11"/>
      <c r="H998" s="23"/>
    </row>
    <row r="999">
      <c r="G999" s="11"/>
      <c r="H999" s="23"/>
    </row>
    <row r="1000">
      <c r="G1000" s="11"/>
      <c r="H1000" s="23"/>
    </row>
    <row r="1001">
      <c r="G1001" s="11"/>
      <c r="H1001" s="23"/>
    </row>
    <row r="1002">
      <c r="G1002" s="11"/>
      <c r="H1002" s="23"/>
    </row>
    <row r="1003">
      <c r="G1003" s="11"/>
      <c r="H1003" s="23"/>
    </row>
    <row r="1004">
      <c r="G1004" s="11"/>
      <c r="H1004" s="23"/>
    </row>
    <row r="1005">
      <c r="G1005" s="11"/>
      <c r="H1005" s="23"/>
    </row>
    <row r="1006">
      <c r="G1006" s="11"/>
      <c r="H1006" s="23"/>
    </row>
    <row r="1007">
      <c r="G1007" s="11"/>
      <c r="H1007" s="23"/>
    </row>
    <row r="1008">
      <c r="G1008" s="11"/>
      <c r="H1008" s="23"/>
    </row>
    <row r="1009">
      <c r="G1009" s="11"/>
      <c r="H1009" s="23"/>
    </row>
    <row r="1010">
      <c r="G1010" s="11"/>
      <c r="H1010" s="23"/>
    </row>
    <row r="1011">
      <c r="G1011" s="11"/>
      <c r="H1011" s="23"/>
    </row>
    <row r="1012">
      <c r="G1012" s="11"/>
      <c r="H1012" s="23"/>
    </row>
    <row r="1013">
      <c r="G1013" s="11"/>
      <c r="H1013" s="2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3" t="s">
        <v>7</v>
      </c>
      <c r="I1" s="1" t="s">
        <v>8</v>
      </c>
      <c r="J1" s="1" t="s">
        <v>22</v>
      </c>
      <c r="K1" s="1" t="s">
        <v>23</v>
      </c>
      <c r="L1" s="1" t="s">
        <v>24</v>
      </c>
    </row>
    <row r="2">
      <c r="A2" s="5">
        <v>45671.0</v>
      </c>
      <c r="B2" s="6">
        <v>1.0</v>
      </c>
      <c r="D2" s="1">
        <v>27.0</v>
      </c>
      <c r="F2" s="6">
        <v>1.0</v>
      </c>
      <c r="G2" s="25">
        <v>100.62</v>
      </c>
      <c r="H2" s="8">
        <v>21.4</v>
      </c>
      <c r="I2" s="6">
        <v>2204.4</v>
      </c>
      <c r="J2" s="9">
        <f t="shared" ref="J2:J111" si="1">I2*0.993</f>
        <v>2188.9692</v>
      </c>
      <c r="K2" s="9">
        <f>AVERAGE(J2:J3)</f>
        <v>2189.41605</v>
      </c>
      <c r="P2" s="6" t="s">
        <v>25</v>
      </c>
    </row>
    <row r="3">
      <c r="A3" s="5">
        <v>45671.0</v>
      </c>
      <c r="B3" s="6">
        <v>1.0</v>
      </c>
      <c r="D3" s="1">
        <v>27.0</v>
      </c>
      <c r="F3" s="6">
        <v>2.0</v>
      </c>
      <c r="G3" s="25">
        <v>100.35</v>
      </c>
      <c r="H3" s="8">
        <v>21.4</v>
      </c>
      <c r="I3" s="6">
        <v>2205.3</v>
      </c>
      <c r="J3" s="9">
        <f t="shared" si="1"/>
        <v>2189.8629</v>
      </c>
      <c r="P3" s="11">
        <f>SUM(G2:G3)</f>
        <v>200.97</v>
      </c>
    </row>
    <row r="4">
      <c r="A4" s="5">
        <v>45671.0</v>
      </c>
      <c r="B4" s="6">
        <v>1.0</v>
      </c>
      <c r="D4" s="6">
        <v>28.0</v>
      </c>
      <c r="E4" s="9">
        <f>44.45+200</f>
        <v>244.45</v>
      </c>
      <c r="F4" s="6">
        <v>1.0</v>
      </c>
      <c r="G4" s="25">
        <v>100.09</v>
      </c>
      <c r="H4" s="8">
        <v>21.5</v>
      </c>
      <c r="I4" s="6">
        <v>2203.5</v>
      </c>
      <c r="J4" s="9">
        <f t="shared" si="1"/>
        <v>2188.0755</v>
      </c>
      <c r="K4" s="9">
        <f>AVERAGE(J4:J5)</f>
        <v>2192.0475</v>
      </c>
    </row>
    <row r="5">
      <c r="A5" s="5">
        <v>45671.0</v>
      </c>
      <c r="B5" s="6">
        <v>1.0</v>
      </c>
      <c r="D5" s="6">
        <v>28.0</v>
      </c>
      <c r="F5" s="6">
        <v>2.0</v>
      </c>
      <c r="G5" s="25">
        <v>100.56</v>
      </c>
      <c r="H5" s="8">
        <v>21.4</v>
      </c>
      <c r="I5" s="6">
        <v>2211.5</v>
      </c>
      <c r="J5" s="9">
        <f t="shared" si="1"/>
        <v>2196.0195</v>
      </c>
      <c r="P5" s="11">
        <f>SUM(G4:G5)</f>
        <v>200.65</v>
      </c>
    </row>
    <row r="6">
      <c r="A6" s="5">
        <v>45671.0</v>
      </c>
      <c r="B6" s="6">
        <v>1.0</v>
      </c>
      <c r="D6" s="6">
        <v>29.0</v>
      </c>
      <c r="F6" s="6">
        <v>1.0</v>
      </c>
      <c r="G6" s="25">
        <v>100.65</v>
      </c>
      <c r="H6" s="8">
        <v>21.0</v>
      </c>
      <c r="I6" s="6">
        <v>2207.7</v>
      </c>
      <c r="J6" s="9">
        <f t="shared" si="1"/>
        <v>2192.2461</v>
      </c>
      <c r="K6" s="9">
        <f>AVERAGE(J6:J7)</f>
        <v>2195.67195</v>
      </c>
      <c r="L6" s="6" t="s">
        <v>26</v>
      </c>
    </row>
    <row r="7">
      <c r="A7" s="5">
        <v>45671.0</v>
      </c>
      <c r="B7" s="6">
        <v>1.0</v>
      </c>
      <c r="D7" s="6">
        <v>29.0</v>
      </c>
      <c r="E7" s="9">
        <f>43.26+200</f>
        <v>243.26</v>
      </c>
      <c r="F7" s="6">
        <v>2.0</v>
      </c>
      <c r="G7" s="25">
        <v>100.69</v>
      </c>
      <c r="H7" s="8">
        <v>21.3</v>
      </c>
      <c r="I7" s="6">
        <v>2214.6</v>
      </c>
      <c r="J7" s="9">
        <f t="shared" si="1"/>
        <v>2199.0978</v>
      </c>
      <c r="P7" s="11">
        <f>SUM(G6:G7)</f>
        <v>201.34</v>
      </c>
    </row>
    <row r="8">
      <c r="A8" s="5">
        <v>45671.0</v>
      </c>
      <c r="B8" s="6">
        <v>1.0</v>
      </c>
      <c r="D8" s="6">
        <v>30.0</v>
      </c>
      <c r="F8" s="6">
        <v>1.0</v>
      </c>
      <c r="G8" s="25">
        <v>100.09</v>
      </c>
      <c r="H8" s="8">
        <v>21.3</v>
      </c>
      <c r="I8" s="6">
        <v>2205.1</v>
      </c>
      <c r="J8" s="9">
        <f t="shared" si="1"/>
        <v>2189.6643</v>
      </c>
      <c r="K8" s="9">
        <f>AVERAGE(J8:J9)</f>
        <v>2189.0685</v>
      </c>
    </row>
    <row r="9">
      <c r="A9" s="5">
        <v>45671.0</v>
      </c>
      <c r="B9" s="6">
        <v>1.0</v>
      </c>
      <c r="D9" s="6">
        <v>30.0</v>
      </c>
      <c r="E9" s="9">
        <f>39.14+200</f>
        <v>239.14</v>
      </c>
      <c r="F9" s="6">
        <v>2.0</v>
      </c>
      <c r="G9" s="25">
        <v>100.54</v>
      </c>
      <c r="H9" s="8">
        <v>21.1</v>
      </c>
      <c r="I9" s="6">
        <v>2203.9</v>
      </c>
      <c r="J9" s="9">
        <f t="shared" si="1"/>
        <v>2188.4727</v>
      </c>
      <c r="P9" s="11">
        <f>SUM(G8:G9)</f>
        <v>200.63</v>
      </c>
    </row>
    <row r="10">
      <c r="A10" s="5">
        <v>45671.0</v>
      </c>
      <c r="B10" s="6">
        <v>1.0</v>
      </c>
      <c r="D10" s="6">
        <v>31.0</v>
      </c>
      <c r="F10" s="6">
        <v>1.0</v>
      </c>
      <c r="G10" s="25">
        <v>100.06</v>
      </c>
      <c r="H10" s="8">
        <v>21.3</v>
      </c>
      <c r="I10" s="6">
        <v>2211.2</v>
      </c>
      <c r="J10" s="9">
        <f t="shared" si="1"/>
        <v>2195.7216</v>
      </c>
      <c r="K10" s="9">
        <f>AVERAGE(J10:J11)</f>
        <v>2194.1328</v>
      </c>
    </row>
    <row r="11">
      <c r="A11" s="5">
        <v>45671.0</v>
      </c>
      <c r="B11" s="6">
        <v>1.0</v>
      </c>
      <c r="D11" s="6">
        <v>31.0</v>
      </c>
      <c r="E11" s="9">
        <f>46.9+200</f>
        <v>246.9</v>
      </c>
      <c r="F11" s="6">
        <v>2.0</v>
      </c>
      <c r="G11" s="25">
        <v>100.16</v>
      </c>
      <c r="H11" s="8">
        <v>21.1</v>
      </c>
      <c r="I11" s="6">
        <v>2208.0</v>
      </c>
      <c r="J11" s="9">
        <f t="shared" si="1"/>
        <v>2192.544</v>
      </c>
      <c r="P11" s="11">
        <f>SUM(G10:G11)</f>
        <v>200.22</v>
      </c>
    </row>
    <row r="12">
      <c r="A12" s="5">
        <v>45671.0</v>
      </c>
      <c r="B12" s="6">
        <v>1.0</v>
      </c>
      <c r="D12" s="6">
        <v>32.0</v>
      </c>
      <c r="F12" s="6">
        <v>1.0</v>
      </c>
      <c r="G12" s="25">
        <v>100.4</v>
      </c>
      <c r="H12" s="8">
        <v>21.2</v>
      </c>
      <c r="I12" s="6">
        <v>2185.4</v>
      </c>
      <c r="J12" s="9">
        <f t="shared" si="1"/>
        <v>2170.1022</v>
      </c>
      <c r="K12" s="9">
        <f>AVERAGE(J12:J13)</f>
        <v>2168.2155</v>
      </c>
    </row>
    <row r="13">
      <c r="A13" s="5">
        <v>45671.0</v>
      </c>
      <c r="B13" s="6">
        <v>1.0</v>
      </c>
      <c r="D13" s="6">
        <v>32.0</v>
      </c>
      <c r="E13" s="9">
        <f>37.3+200</f>
        <v>237.3</v>
      </c>
      <c r="F13" s="6">
        <v>2.0</v>
      </c>
      <c r="G13" s="25">
        <v>100.4</v>
      </c>
      <c r="H13" s="8">
        <v>21.1</v>
      </c>
      <c r="I13" s="6">
        <v>2181.6</v>
      </c>
      <c r="J13" s="9">
        <f t="shared" si="1"/>
        <v>2166.3288</v>
      </c>
      <c r="P13" s="11">
        <f>SUM(G12:G13)</f>
        <v>200.8</v>
      </c>
    </row>
    <row r="14">
      <c r="A14" s="5">
        <v>45671.0</v>
      </c>
      <c r="B14" s="6">
        <v>1.0</v>
      </c>
      <c r="D14" s="6">
        <v>33.0</v>
      </c>
      <c r="F14" s="6">
        <v>1.0</v>
      </c>
      <c r="G14" s="25">
        <v>100.7</v>
      </c>
      <c r="H14" s="8">
        <v>21.1</v>
      </c>
      <c r="I14" s="6">
        <v>2185.6</v>
      </c>
      <c r="J14" s="9">
        <f t="shared" si="1"/>
        <v>2170.3008</v>
      </c>
      <c r="K14" s="9">
        <f>AVERAGE(J14:J15)</f>
        <v>2170.9959</v>
      </c>
    </row>
    <row r="15">
      <c r="A15" s="5">
        <v>45671.0</v>
      </c>
      <c r="B15" s="6">
        <v>1.0</v>
      </c>
      <c r="D15" s="6">
        <v>33.0</v>
      </c>
      <c r="E15" s="9">
        <f>38.03+200</f>
        <v>238.03</v>
      </c>
      <c r="F15" s="6">
        <v>2.0</v>
      </c>
      <c r="G15" s="25">
        <v>100.37</v>
      </c>
      <c r="H15" s="8">
        <v>20.9</v>
      </c>
      <c r="I15" s="6">
        <v>2187.0</v>
      </c>
      <c r="J15" s="9">
        <f t="shared" si="1"/>
        <v>2171.691</v>
      </c>
      <c r="P15" s="11">
        <f>SUM(G14:G15)</f>
        <v>201.07</v>
      </c>
    </row>
    <row r="16">
      <c r="A16" s="5">
        <v>45671.0</v>
      </c>
      <c r="B16" s="6">
        <v>1.0</v>
      </c>
      <c r="D16" s="6">
        <v>34.0</v>
      </c>
      <c r="F16" s="6">
        <v>1.0</v>
      </c>
      <c r="G16" s="25">
        <v>100.48</v>
      </c>
      <c r="H16" s="8">
        <v>21.0</v>
      </c>
      <c r="I16" s="6">
        <v>2230.0</v>
      </c>
      <c r="J16" s="9">
        <f t="shared" si="1"/>
        <v>2214.39</v>
      </c>
      <c r="K16" s="9">
        <f>AVERAGE(J16:J17)</f>
        <v>2203.71525</v>
      </c>
    </row>
    <row r="17">
      <c r="A17" s="5">
        <v>45671.0</v>
      </c>
      <c r="B17" s="6">
        <v>1.0</v>
      </c>
      <c r="D17" s="6">
        <v>34.0</v>
      </c>
      <c r="E17" s="9">
        <f>45.79+200</f>
        <v>245.79</v>
      </c>
      <c r="F17" s="6">
        <v>2.0</v>
      </c>
      <c r="G17" s="25">
        <v>100.19</v>
      </c>
      <c r="H17" s="8">
        <v>20.7</v>
      </c>
      <c r="I17" s="6">
        <v>2208.5</v>
      </c>
      <c r="J17" s="9">
        <f t="shared" si="1"/>
        <v>2193.0405</v>
      </c>
      <c r="P17" s="11">
        <f>SUM(G16:G17)</f>
        <v>200.67</v>
      </c>
    </row>
    <row r="18">
      <c r="A18" s="5">
        <v>45671.0</v>
      </c>
      <c r="B18" s="6">
        <v>1.0</v>
      </c>
      <c r="D18" s="6">
        <v>35.0</v>
      </c>
      <c r="F18" s="6">
        <v>1.0</v>
      </c>
      <c r="G18" s="26">
        <v>100.39</v>
      </c>
      <c r="H18" s="8">
        <v>20.7</v>
      </c>
      <c r="I18" s="6">
        <v>2212.6</v>
      </c>
      <c r="J18" s="9">
        <f t="shared" si="1"/>
        <v>2197.1118</v>
      </c>
      <c r="K18" s="9">
        <f>AVERAGE(J18:J19)</f>
        <v>2198.05515</v>
      </c>
    </row>
    <row r="19">
      <c r="A19" s="5">
        <v>45671.0</v>
      </c>
      <c r="B19" s="6">
        <v>1.0</v>
      </c>
      <c r="D19" s="6">
        <v>35.0</v>
      </c>
      <c r="E19" s="9">
        <f>40.95+200</f>
        <v>240.95</v>
      </c>
      <c r="F19" s="6">
        <v>2.0</v>
      </c>
      <c r="G19" s="25">
        <v>100.85</v>
      </c>
      <c r="H19" s="8">
        <v>20.9</v>
      </c>
      <c r="I19" s="6">
        <v>2214.5</v>
      </c>
      <c r="J19" s="9">
        <f t="shared" si="1"/>
        <v>2198.9985</v>
      </c>
      <c r="P19" s="11">
        <f>SUM(G18:G19)</f>
        <v>201.24</v>
      </c>
    </row>
    <row r="20">
      <c r="A20" s="5">
        <v>45671.0</v>
      </c>
      <c r="B20" s="6">
        <v>1.0</v>
      </c>
      <c r="D20" s="6">
        <v>36.0</v>
      </c>
      <c r="F20" s="6">
        <v>1.0</v>
      </c>
      <c r="G20" s="25">
        <v>100.06</v>
      </c>
      <c r="H20" s="8">
        <v>21.0</v>
      </c>
      <c r="I20" s="6">
        <v>2190.9</v>
      </c>
      <c r="J20" s="9">
        <f t="shared" si="1"/>
        <v>2175.5637</v>
      </c>
      <c r="K20" s="6">
        <v>2175.5637</v>
      </c>
    </row>
    <row r="21">
      <c r="A21" s="5">
        <v>45671.0</v>
      </c>
      <c r="B21" s="6">
        <v>1.0</v>
      </c>
      <c r="D21" s="6">
        <v>36.0</v>
      </c>
      <c r="E21" s="9">
        <f>41.2+200</f>
        <v>241.2</v>
      </c>
      <c r="F21" s="6">
        <v>2.0</v>
      </c>
      <c r="G21" s="25" t="s">
        <v>27</v>
      </c>
      <c r="H21" s="8"/>
      <c r="J21" s="9">
        <f t="shared" si="1"/>
        <v>0</v>
      </c>
      <c r="P21" s="11">
        <f>SUM(G20:G21)</f>
        <v>100.06</v>
      </c>
    </row>
    <row r="22">
      <c r="A22" s="5">
        <v>45671.0</v>
      </c>
      <c r="B22" s="6">
        <v>1.0</v>
      </c>
      <c r="D22" s="6">
        <v>37.0</v>
      </c>
      <c r="F22" s="6">
        <v>1.0</v>
      </c>
      <c r="G22" s="25">
        <v>100.91</v>
      </c>
      <c r="H22" s="8">
        <v>21.0</v>
      </c>
      <c r="I22" s="6">
        <v>2205.5</v>
      </c>
      <c r="J22" s="9">
        <f t="shared" si="1"/>
        <v>2190.0615</v>
      </c>
      <c r="K22" s="9">
        <f>AVERAGE(J22:J23)</f>
        <v>2190.11115</v>
      </c>
    </row>
    <row r="23">
      <c r="A23" s="5">
        <v>45671.0</v>
      </c>
      <c r="B23" s="6">
        <v>1.0</v>
      </c>
      <c r="D23" s="6">
        <v>37.0</v>
      </c>
      <c r="E23" s="9">
        <f>23.85+200</f>
        <v>223.85</v>
      </c>
      <c r="F23" s="6">
        <v>2.0</v>
      </c>
      <c r="G23" s="25">
        <v>100.34</v>
      </c>
      <c r="H23" s="8">
        <v>21.0</v>
      </c>
      <c r="I23" s="6">
        <v>2205.6</v>
      </c>
      <c r="J23" s="9">
        <f t="shared" si="1"/>
        <v>2190.1608</v>
      </c>
      <c r="P23" s="11">
        <f>SUM(G22:G23)</f>
        <v>201.25</v>
      </c>
    </row>
    <row r="24">
      <c r="A24" s="5">
        <v>45671.0</v>
      </c>
      <c r="B24" s="6">
        <v>1.0</v>
      </c>
      <c r="D24" s="6">
        <v>38.0</v>
      </c>
      <c r="F24" s="6">
        <v>1.0</v>
      </c>
      <c r="G24" s="27">
        <v>100.84</v>
      </c>
      <c r="H24" s="8">
        <v>21.1</v>
      </c>
      <c r="I24" s="6">
        <v>2189.8</v>
      </c>
      <c r="J24" s="9">
        <f t="shared" si="1"/>
        <v>2174.4714</v>
      </c>
      <c r="K24" s="9">
        <f>AVERAGE(J24:J25)</f>
        <v>2175.41475</v>
      </c>
    </row>
    <row r="25">
      <c r="A25" s="5">
        <v>45671.0</v>
      </c>
      <c r="B25" s="6">
        <v>1.0</v>
      </c>
      <c r="D25" s="6">
        <v>38.0</v>
      </c>
      <c r="E25" s="9">
        <f>39.1+200</f>
        <v>239.1</v>
      </c>
      <c r="F25" s="6">
        <v>2.0</v>
      </c>
      <c r="G25" s="25">
        <v>100.37</v>
      </c>
      <c r="H25" s="8">
        <v>20.9</v>
      </c>
      <c r="I25" s="6">
        <v>2191.7</v>
      </c>
      <c r="J25" s="9">
        <f t="shared" si="1"/>
        <v>2176.3581</v>
      </c>
      <c r="P25" s="11">
        <f>SUM(G24:G25)</f>
        <v>201.21</v>
      </c>
    </row>
    <row r="26">
      <c r="A26" s="5">
        <v>45671.0</v>
      </c>
      <c r="B26" s="6">
        <v>1.0</v>
      </c>
      <c r="D26" s="6">
        <v>39.0</v>
      </c>
      <c r="F26" s="6">
        <v>1.0</v>
      </c>
      <c r="G26" s="25">
        <v>100.48</v>
      </c>
      <c r="H26" s="8">
        <v>20.9</v>
      </c>
      <c r="I26" s="6">
        <v>2200.5</v>
      </c>
      <c r="J26" s="9">
        <f t="shared" si="1"/>
        <v>2185.0965</v>
      </c>
      <c r="K26" s="9">
        <f>AVERAGE(J26:J27)</f>
        <v>2190.7566</v>
      </c>
    </row>
    <row r="27">
      <c r="A27" s="5">
        <v>45671.0</v>
      </c>
      <c r="B27" s="6">
        <v>1.0</v>
      </c>
      <c r="D27" s="6">
        <v>39.0</v>
      </c>
      <c r="E27" s="9">
        <f>40.49+200</f>
        <v>240.49</v>
      </c>
      <c r="F27" s="6">
        <v>2.0</v>
      </c>
      <c r="G27" s="25">
        <v>100.22</v>
      </c>
      <c r="H27" s="8">
        <v>20.9</v>
      </c>
      <c r="I27" s="6">
        <v>2211.9</v>
      </c>
      <c r="J27" s="9">
        <f t="shared" si="1"/>
        <v>2196.4167</v>
      </c>
      <c r="P27" s="11">
        <f>SUM(G26:G27)</f>
        <v>200.7</v>
      </c>
    </row>
    <row r="28">
      <c r="A28" s="5">
        <v>45671.0</v>
      </c>
      <c r="B28" s="6">
        <v>2.0</v>
      </c>
      <c r="D28" s="1">
        <v>40.0</v>
      </c>
      <c r="F28" s="6">
        <v>1.0</v>
      </c>
      <c r="G28" s="25">
        <v>100.67</v>
      </c>
      <c r="H28" s="8">
        <v>21.0</v>
      </c>
      <c r="I28" s="6">
        <v>2179.0</v>
      </c>
      <c r="J28" s="9">
        <f t="shared" si="1"/>
        <v>2163.747</v>
      </c>
      <c r="K28" s="9">
        <f>AVERAGE(J28:J29)</f>
        <v>2162.00925</v>
      </c>
    </row>
    <row r="29">
      <c r="A29" s="5">
        <v>45671.0</v>
      </c>
      <c r="B29" s="6">
        <v>2.0</v>
      </c>
      <c r="D29" s="1">
        <v>40.0</v>
      </c>
      <c r="F29" s="6">
        <v>2.0</v>
      </c>
      <c r="G29" s="25">
        <v>100.42</v>
      </c>
      <c r="H29" s="8">
        <v>21.0</v>
      </c>
      <c r="I29" s="6">
        <v>2175.5</v>
      </c>
      <c r="J29" s="9">
        <f t="shared" si="1"/>
        <v>2160.2715</v>
      </c>
      <c r="P29" s="11">
        <f>SUM(G28:G29)</f>
        <v>201.09</v>
      </c>
    </row>
    <row r="30">
      <c r="A30" s="5">
        <v>45671.0</v>
      </c>
      <c r="B30" s="6">
        <v>2.0</v>
      </c>
      <c r="D30" s="6">
        <v>41.0</v>
      </c>
      <c r="F30" s="6">
        <v>1.0</v>
      </c>
      <c r="G30" s="25">
        <v>100.3</v>
      </c>
      <c r="H30" s="8">
        <v>21.0</v>
      </c>
      <c r="I30" s="6">
        <v>2180.3</v>
      </c>
      <c r="J30" s="9">
        <f t="shared" si="1"/>
        <v>2165.0379</v>
      </c>
      <c r="K30" s="9">
        <f>AVERAGE(J30:J31)</f>
        <v>2167.76865</v>
      </c>
    </row>
    <row r="31">
      <c r="A31" s="5">
        <v>45671.0</v>
      </c>
      <c r="B31" s="6">
        <v>2.0</v>
      </c>
      <c r="D31" s="6">
        <v>41.0</v>
      </c>
      <c r="E31" s="9">
        <f>52.64+200</f>
        <v>252.64</v>
      </c>
      <c r="F31" s="6">
        <v>2.0</v>
      </c>
      <c r="G31" s="25">
        <v>100.51</v>
      </c>
      <c r="H31" s="8">
        <v>20.9</v>
      </c>
      <c r="I31" s="6">
        <v>2185.8</v>
      </c>
      <c r="J31" s="9">
        <f t="shared" si="1"/>
        <v>2170.4994</v>
      </c>
      <c r="P31" s="11">
        <f>SUM(G30:G31)</f>
        <v>200.81</v>
      </c>
    </row>
    <row r="32">
      <c r="A32" s="5">
        <v>45671.0</v>
      </c>
      <c r="B32" s="6">
        <v>2.0</v>
      </c>
      <c r="D32" s="6">
        <v>42.0</v>
      </c>
      <c r="F32" s="6">
        <v>1.0</v>
      </c>
      <c r="G32" s="25">
        <v>100.26</v>
      </c>
      <c r="H32" s="8">
        <v>21.0</v>
      </c>
      <c r="I32" s="6">
        <v>2178.4</v>
      </c>
      <c r="J32" s="9">
        <f t="shared" si="1"/>
        <v>2163.1512</v>
      </c>
      <c r="K32" s="9">
        <f>AVERAGE(J32:J33)</f>
        <v>2163.00225</v>
      </c>
    </row>
    <row r="33">
      <c r="A33" s="5">
        <v>45671.0</v>
      </c>
      <c r="B33" s="6">
        <v>2.0</v>
      </c>
      <c r="D33" s="6">
        <v>42.0</v>
      </c>
      <c r="E33" s="9">
        <f>46.07+200</f>
        <v>246.07</v>
      </c>
      <c r="F33" s="6">
        <v>2.0</v>
      </c>
      <c r="G33" s="25">
        <v>100.08</v>
      </c>
      <c r="H33" s="8">
        <v>20.8</v>
      </c>
      <c r="I33" s="6">
        <v>2178.1</v>
      </c>
      <c r="J33" s="9">
        <f t="shared" si="1"/>
        <v>2162.8533</v>
      </c>
      <c r="P33" s="11">
        <f>SUM(G32:G33)</f>
        <v>200.34</v>
      </c>
    </row>
    <row r="34">
      <c r="A34" s="5">
        <v>45671.0</v>
      </c>
      <c r="B34" s="6">
        <v>2.0</v>
      </c>
      <c r="D34" s="6">
        <v>43.0</v>
      </c>
      <c r="F34" s="6">
        <v>1.0</v>
      </c>
      <c r="G34" s="27">
        <v>100.43</v>
      </c>
      <c r="H34" s="8">
        <v>20.9</v>
      </c>
      <c r="I34" s="6">
        <v>2161.8</v>
      </c>
      <c r="J34" s="9">
        <f t="shared" si="1"/>
        <v>2146.6674</v>
      </c>
      <c r="K34" s="9">
        <f>AVERAGE(J34:J35)</f>
        <v>2150.0436</v>
      </c>
    </row>
    <row r="35">
      <c r="A35" s="5">
        <v>45671.0</v>
      </c>
      <c r="B35" s="6">
        <v>2.0</v>
      </c>
      <c r="D35" s="6">
        <v>43.0</v>
      </c>
      <c r="E35" s="9">
        <f>38.39+200</f>
        <v>238.39</v>
      </c>
      <c r="F35" s="6">
        <v>2.0</v>
      </c>
      <c r="G35" s="25">
        <v>100.13</v>
      </c>
      <c r="H35" s="8">
        <v>21.0</v>
      </c>
      <c r="I35" s="6">
        <v>2168.6</v>
      </c>
      <c r="J35" s="9">
        <f t="shared" si="1"/>
        <v>2153.4198</v>
      </c>
      <c r="P35" s="11">
        <f>SUM(G34:G35)</f>
        <v>200.56</v>
      </c>
    </row>
    <row r="36">
      <c r="A36" s="5">
        <v>45671.0</v>
      </c>
      <c r="B36" s="6">
        <v>2.0</v>
      </c>
      <c r="D36" s="6">
        <v>44.0</v>
      </c>
      <c r="F36" s="6">
        <v>1.0</v>
      </c>
      <c r="G36" s="25">
        <v>100.52</v>
      </c>
      <c r="H36" s="8">
        <v>21.0</v>
      </c>
      <c r="I36" s="6">
        <v>2182.4</v>
      </c>
      <c r="J36" s="9">
        <f t="shared" si="1"/>
        <v>2167.1232</v>
      </c>
      <c r="K36" s="9">
        <f>AVERAGE(J36:J37)</f>
        <v>2165.38545</v>
      </c>
    </row>
    <row r="37">
      <c r="A37" s="5">
        <v>45671.0</v>
      </c>
      <c r="B37" s="6">
        <v>2.0</v>
      </c>
      <c r="D37" s="6">
        <v>44.0</v>
      </c>
      <c r="E37" s="9">
        <f>46.69+200</f>
        <v>246.69</v>
      </c>
      <c r="F37" s="6">
        <v>2.0</v>
      </c>
      <c r="G37" s="25">
        <v>100.16</v>
      </c>
      <c r="H37" s="8">
        <v>20.9</v>
      </c>
      <c r="I37" s="6">
        <v>2178.9</v>
      </c>
      <c r="J37" s="9">
        <f t="shared" si="1"/>
        <v>2163.6477</v>
      </c>
      <c r="P37" s="11">
        <f>SUM(G36:G37)</f>
        <v>200.68</v>
      </c>
    </row>
    <row r="38">
      <c r="A38" s="5">
        <v>45671.0</v>
      </c>
      <c r="B38" s="6">
        <v>2.0</v>
      </c>
      <c r="D38" s="6">
        <v>45.0</v>
      </c>
      <c r="F38" s="6">
        <v>1.0</v>
      </c>
      <c r="G38" s="25">
        <v>100.07</v>
      </c>
      <c r="H38" s="8">
        <v>20.9</v>
      </c>
      <c r="I38" s="6">
        <v>2177.1</v>
      </c>
      <c r="J38" s="9">
        <f t="shared" si="1"/>
        <v>2161.8603</v>
      </c>
      <c r="K38" s="9">
        <f>AVERAGE(J38:J39)</f>
        <v>2159.42745</v>
      </c>
    </row>
    <row r="39">
      <c r="A39" s="5">
        <v>45671.0</v>
      </c>
      <c r="B39" s="6">
        <v>2.0</v>
      </c>
      <c r="D39" s="6">
        <v>45.0</v>
      </c>
      <c r="E39" s="9">
        <f>38.97+200</f>
        <v>238.97</v>
      </c>
      <c r="F39" s="6">
        <v>2.0</v>
      </c>
      <c r="G39" s="25">
        <v>100.16</v>
      </c>
      <c r="H39" s="8">
        <v>20.8</v>
      </c>
      <c r="I39" s="6">
        <v>2172.2</v>
      </c>
      <c r="J39" s="9">
        <f t="shared" si="1"/>
        <v>2156.9946</v>
      </c>
      <c r="P39" s="11">
        <f>SUM(G38:G39)</f>
        <v>200.23</v>
      </c>
    </row>
    <row r="40">
      <c r="A40" s="5">
        <v>45671.0</v>
      </c>
      <c r="B40" s="6">
        <v>2.0</v>
      </c>
      <c r="D40" s="6">
        <v>46.0</v>
      </c>
      <c r="F40" s="6">
        <v>1.0</v>
      </c>
      <c r="G40" s="25">
        <v>100.6</v>
      </c>
      <c r="H40" s="8">
        <v>20.8</v>
      </c>
      <c r="I40" s="6">
        <v>2180.2</v>
      </c>
      <c r="J40" s="9">
        <f t="shared" si="1"/>
        <v>2164.9386</v>
      </c>
      <c r="K40" s="9">
        <f>AVERAGE(J40:J41)</f>
        <v>2166.37845</v>
      </c>
    </row>
    <row r="41">
      <c r="A41" s="5">
        <v>45671.0</v>
      </c>
      <c r="B41" s="6">
        <v>2.0</v>
      </c>
      <c r="D41" s="6">
        <v>46.0</v>
      </c>
      <c r="E41" s="9">
        <f>22.63+200</f>
        <v>222.63</v>
      </c>
      <c r="F41" s="6">
        <v>2.0</v>
      </c>
      <c r="G41" s="25">
        <v>100.17</v>
      </c>
      <c r="H41" s="8">
        <v>20.8</v>
      </c>
      <c r="I41" s="6">
        <v>2183.1</v>
      </c>
      <c r="J41" s="9">
        <f t="shared" si="1"/>
        <v>2167.8183</v>
      </c>
      <c r="P41" s="11">
        <f>SUM(G40:G41)</f>
        <v>200.77</v>
      </c>
    </row>
    <row r="42">
      <c r="A42" s="5">
        <v>45671.0</v>
      </c>
      <c r="B42" s="6">
        <v>2.0</v>
      </c>
      <c r="D42" s="6">
        <v>47.0</v>
      </c>
      <c r="F42" s="6">
        <v>1.0</v>
      </c>
      <c r="G42" s="25">
        <v>100.12</v>
      </c>
      <c r="H42" s="8">
        <v>20.7</v>
      </c>
      <c r="I42" s="6">
        <v>2184.5</v>
      </c>
      <c r="J42" s="9">
        <f t="shared" si="1"/>
        <v>2169.2085</v>
      </c>
      <c r="K42" s="9">
        <f>AVERAGE(J42:J43)</f>
        <v>2168.56305</v>
      </c>
    </row>
    <row r="43">
      <c r="A43" s="5">
        <v>45671.0</v>
      </c>
      <c r="B43" s="6">
        <v>2.0</v>
      </c>
      <c r="D43" s="6">
        <v>47.0</v>
      </c>
      <c r="E43" s="9">
        <f>46.59+200</f>
        <v>246.59</v>
      </c>
      <c r="F43" s="6">
        <v>2.0</v>
      </c>
      <c r="G43" s="25">
        <v>100.18</v>
      </c>
      <c r="H43" s="8">
        <v>20.7</v>
      </c>
      <c r="I43" s="6">
        <v>2183.2</v>
      </c>
      <c r="J43" s="9">
        <f t="shared" si="1"/>
        <v>2167.9176</v>
      </c>
      <c r="P43" s="11">
        <f>SUM(G42:G43)</f>
        <v>200.3</v>
      </c>
    </row>
    <row r="44">
      <c r="A44" s="5">
        <v>45671.0</v>
      </c>
      <c r="B44" s="6">
        <v>2.0</v>
      </c>
      <c r="D44" s="6">
        <v>48.0</v>
      </c>
      <c r="F44" s="6">
        <v>1.0</v>
      </c>
      <c r="G44" s="27">
        <v>100.66</v>
      </c>
      <c r="H44" s="8">
        <v>20.9</v>
      </c>
      <c r="I44" s="6">
        <v>2168.8</v>
      </c>
      <c r="J44" s="9">
        <f t="shared" si="1"/>
        <v>2153.6184</v>
      </c>
      <c r="K44" s="9">
        <f>AVERAGE(J44:J45)</f>
        <v>2158.43445</v>
      </c>
    </row>
    <row r="45">
      <c r="A45" s="5">
        <v>45671.0</v>
      </c>
      <c r="B45" s="6">
        <v>2.0</v>
      </c>
      <c r="D45" s="6">
        <v>48.0</v>
      </c>
      <c r="E45" s="9">
        <f>37.99+200</f>
        <v>237.99</v>
      </c>
      <c r="F45" s="6">
        <v>2.0</v>
      </c>
      <c r="G45" s="25">
        <v>100.42</v>
      </c>
      <c r="H45" s="8">
        <v>20.9</v>
      </c>
      <c r="I45" s="6">
        <v>2178.5</v>
      </c>
      <c r="J45" s="9">
        <f t="shared" si="1"/>
        <v>2163.2505</v>
      </c>
      <c r="P45" s="11">
        <f>SUM(G44:G45)</f>
        <v>201.08</v>
      </c>
    </row>
    <row r="46">
      <c r="A46" s="5">
        <v>45671.0</v>
      </c>
      <c r="B46" s="6">
        <v>2.0</v>
      </c>
      <c r="D46" s="6">
        <v>49.0</v>
      </c>
      <c r="F46" s="6">
        <v>1.0</v>
      </c>
      <c r="G46" s="25">
        <v>100.2</v>
      </c>
      <c r="H46" s="8">
        <v>20.8</v>
      </c>
      <c r="I46" s="6">
        <v>2192.1</v>
      </c>
      <c r="J46" s="9">
        <f t="shared" si="1"/>
        <v>2176.7553</v>
      </c>
      <c r="K46" s="9">
        <f>AVERAGE(J46:J47)</f>
        <v>2172.23715</v>
      </c>
    </row>
    <row r="47">
      <c r="A47" s="5">
        <v>45671.0</v>
      </c>
      <c r="B47" s="6">
        <v>2.0</v>
      </c>
      <c r="D47" s="6">
        <v>49.0</v>
      </c>
      <c r="E47" s="9">
        <f>41.02+200</f>
        <v>241.02</v>
      </c>
      <c r="F47" s="6">
        <v>2.0</v>
      </c>
      <c r="G47" s="25">
        <v>100.23</v>
      </c>
      <c r="H47" s="8">
        <v>20.6</v>
      </c>
      <c r="I47" s="6">
        <v>2183.0</v>
      </c>
      <c r="J47" s="9">
        <f t="shared" si="1"/>
        <v>2167.719</v>
      </c>
      <c r="P47" s="11">
        <f>SUM(G46:G47)</f>
        <v>200.43</v>
      </c>
    </row>
    <row r="48">
      <c r="A48" s="5">
        <v>45671.0</v>
      </c>
      <c r="B48" s="6">
        <v>2.0</v>
      </c>
      <c r="D48" s="6">
        <v>50.0</v>
      </c>
      <c r="F48" s="6">
        <v>1.0</v>
      </c>
      <c r="G48" s="25">
        <v>100.12</v>
      </c>
      <c r="H48" s="8">
        <v>20.8</v>
      </c>
      <c r="I48" s="6">
        <v>2176.0</v>
      </c>
      <c r="J48" s="9">
        <f t="shared" si="1"/>
        <v>2160.768</v>
      </c>
      <c r="K48" s="9">
        <f>AVERAGE(J48:J49)</f>
        <v>2162.20785</v>
      </c>
    </row>
    <row r="49">
      <c r="A49" s="5">
        <v>45671.0</v>
      </c>
      <c r="B49" s="6">
        <v>2.0</v>
      </c>
      <c r="D49" s="6">
        <v>50.0</v>
      </c>
      <c r="E49" s="9">
        <f>42.62+200</f>
        <v>242.62</v>
      </c>
      <c r="F49" s="6">
        <v>2.0</v>
      </c>
      <c r="G49" s="25">
        <v>100.08</v>
      </c>
      <c r="H49" s="8">
        <v>20.7</v>
      </c>
      <c r="I49" s="6">
        <v>2178.9</v>
      </c>
      <c r="J49" s="9">
        <f t="shared" si="1"/>
        <v>2163.6477</v>
      </c>
      <c r="P49" s="11">
        <f>SUM(G48:G49)</f>
        <v>200.2</v>
      </c>
    </row>
    <row r="50">
      <c r="A50" s="5">
        <v>45671.0</v>
      </c>
      <c r="B50" s="6">
        <v>2.0</v>
      </c>
      <c r="D50" s="6">
        <v>51.0</v>
      </c>
      <c r="F50" s="6">
        <v>1.0</v>
      </c>
      <c r="G50" s="27">
        <v>100.43</v>
      </c>
      <c r="H50" s="8">
        <v>20.7</v>
      </c>
      <c r="I50" s="6">
        <v>2184.2</v>
      </c>
      <c r="J50" s="9">
        <f t="shared" si="1"/>
        <v>2168.9106</v>
      </c>
      <c r="K50" s="9">
        <f>AVERAGE(J50:J51)</f>
        <v>2166.67635</v>
      </c>
    </row>
    <row r="51">
      <c r="A51" s="5">
        <v>45671.0</v>
      </c>
      <c r="B51" s="6">
        <v>2.0</v>
      </c>
      <c r="D51" s="6">
        <v>51.0</v>
      </c>
      <c r="E51" s="9">
        <f>41.24+200</f>
        <v>241.24</v>
      </c>
      <c r="F51" s="6">
        <v>2.0</v>
      </c>
      <c r="G51" s="25">
        <v>100.55</v>
      </c>
      <c r="H51" s="8">
        <v>20.7</v>
      </c>
      <c r="I51" s="6">
        <v>2179.7</v>
      </c>
      <c r="J51" s="9">
        <f t="shared" si="1"/>
        <v>2164.4421</v>
      </c>
      <c r="P51" s="11">
        <f>SUM(G50:G51)</f>
        <v>200.98</v>
      </c>
    </row>
    <row r="52">
      <c r="A52" s="5">
        <v>45671.0</v>
      </c>
      <c r="B52" s="6">
        <v>2.0</v>
      </c>
      <c r="D52" s="6">
        <v>52.0</v>
      </c>
      <c r="F52" s="6">
        <v>1.0</v>
      </c>
      <c r="G52" s="25">
        <v>100.4</v>
      </c>
      <c r="H52" s="8">
        <v>20.8</v>
      </c>
      <c r="I52" s="6">
        <v>2176.0</v>
      </c>
      <c r="J52" s="9">
        <f t="shared" si="1"/>
        <v>2160.768</v>
      </c>
      <c r="K52" s="9">
        <f>AVERAGE(J52:J53)</f>
        <v>2157.6897</v>
      </c>
    </row>
    <row r="53">
      <c r="A53" s="5">
        <v>45671.0</v>
      </c>
      <c r="B53" s="6">
        <v>2.0</v>
      </c>
      <c r="D53" s="6">
        <v>52.0</v>
      </c>
      <c r="E53" s="9">
        <f>40.88+200</f>
        <v>240.88</v>
      </c>
      <c r="F53" s="6">
        <v>2.0</v>
      </c>
      <c r="G53" s="25">
        <v>100.1</v>
      </c>
      <c r="H53" s="8">
        <v>20.8</v>
      </c>
      <c r="I53" s="6">
        <v>2169.8</v>
      </c>
      <c r="J53" s="9">
        <f t="shared" si="1"/>
        <v>2154.6114</v>
      </c>
      <c r="P53" s="11">
        <f>SUM(G52:G53)</f>
        <v>200.5</v>
      </c>
    </row>
    <row r="54">
      <c r="A54" s="5"/>
      <c r="B54" s="6"/>
      <c r="D54" s="6" t="s">
        <v>28</v>
      </c>
      <c r="F54" s="6">
        <v>1.0</v>
      </c>
      <c r="G54" s="25">
        <v>100.24</v>
      </c>
      <c r="H54" s="8">
        <v>23.0</v>
      </c>
      <c r="I54" s="6">
        <v>2308.7</v>
      </c>
      <c r="J54" s="9">
        <f t="shared" si="1"/>
        <v>2292.5391</v>
      </c>
      <c r="K54" s="9">
        <f>AVERAGE(J54:J55)</f>
        <v>2297.802</v>
      </c>
      <c r="L54" s="6" t="s">
        <v>29</v>
      </c>
    </row>
    <row r="55">
      <c r="A55" s="5"/>
      <c r="B55" s="6"/>
      <c r="D55" s="6" t="s">
        <v>28</v>
      </c>
      <c r="F55" s="6">
        <v>2.0</v>
      </c>
      <c r="G55" s="25">
        <v>100.72</v>
      </c>
      <c r="H55" s="8">
        <v>22.9</v>
      </c>
      <c r="I55" s="6">
        <v>2319.3</v>
      </c>
      <c r="J55" s="9">
        <f t="shared" si="1"/>
        <v>2303.0649</v>
      </c>
    </row>
    <row r="56">
      <c r="A56" s="5"/>
      <c r="B56" s="6"/>
      <c r="D56" s="6" t="s">
        <v>30</v>
      </c>
      <c r="F56" s="6">
        <v>1.0</v>
      </c>
      <c r="G56" s="25">
        <v>100.93</v>
      </c>
      <c r="H56" s="8">
        <v>23.5</v>
      </c>
      <c r="I56" s="6">
        <v>2306.4</v>
      </c>
      <c r="J56" s="9">
        <f t="shared" si="1"/>
        <v>2290.2552</v>
      </c>
      <c r="K56" s="9">
        <f>AVERAGE(J56:J57)</f>
        <v>2293.3335</v>
      </c>
      <c r="L56" s="6" t="s">
        <v>31</v>
      </c>
    </row>
    <row r="57">
      <c r="A57" s="5"/>
      <c r="B57" s="6"/>
      <c r="D57" s="6" t="s">
        <v>30</v>
      </c>
      <c r="F57" s="6">
        <v>2.0</v>
      </c>
      <c r="G57" s="25">
        <v>100.28</v>
      </c>
      <c r="H57" s="8">
        <v>21.1</v>
      </c>
      <c r="I57" s="6">
        <v>2312.6</v>
      </c>
      <c r="J57" s="9">
        <f t="shared" si="1"/>
        <v>2296.4118</v>
      </c>
    </row>
    <row r="58">
      <c r="A58" s="5"/>
      <c r="B58" s="6"/>
      <c r="D58" s="1" t="s">
        <v>32</v>
      </c>
      <c r="F58" s="6">
        <v>1.0</v>
      </c>
      <c r="G58" s="25">
        <v>100.58</v>
      </c>
      <c r="H58" s="8">
        <v>21.1</v>
      </c>
      <c r="I58" s="6">
        <v>2201.9</v>
      </c>
      <c r="J58" s="9">
        <f t="shared" si="1"/>
        <v>2186.4867</v>
      </c>
      <c r="K58" s="9">
        <f>AVERAGE(J58:J59)</f>
        <v>2188.1748</v>
      </c>
    </row>
    <row r="59">
      <c r="A59" s="5"/>
      <c r="B59" s="6"/>
      <c r="D59" s="1" t="s">
        <v>33</v>
      </c>
      <c r="F59" s="6">
        <v>2.0</v>
      </c>
      <c r="G59" s="25">
        <v>100.31</v>
      </c>
      <c r="H59" s="8">
        <v>21.0</v>
      </c>
      <c r="I59" s="6">
        <v>2205.3</v>
      </c>
      <c r="J59" s="9">
        <f t="shared" si="1"/>
        <v>2189.8629</v>
      </c>
    </row>
    <row r="60">
      <c r="A60" s="5"/>
      <c r="B60" s="6">
        <v>3.0</v>
      </c>
      <c r="D60" s="1">
        <v>1.0</v>
      </c>
      <c r="F60" s="6">
        <v>1.0</v>
      </c>
      <c r="G60" s="25">
        <v>100.5</v>
      </c>
      <c r="H60" s="8">
        <v>22.0</v>
      </c>
      <c r="I60" s="6">
        <v>2180.6</v>
      </c>
      <c r="J60" s="9">
        <f t="shared" si="1"/>
        <v>2165.3358</v>
      </c>
      <c r="K60" s="9">
        <f>AVERAGE(J60:J61)</f>
        <v>2164.39245</v>
      </c>
    </row>
    <row r="61">
      <c r="A61" s="5"/>
      <c r="B61" s="6">
        <v>3.0</v>
      </c>
      <c r="D61" s="1">
        <v>1.0</v>
      </c>
      <c r="F61" s="6">
        <v>2.0</v>
      </c>
      <c r="G61" s="25">
        <v>100.55</v>
      </c>
      <c r="H61" s="8">
        <v>21.6</v>
      </c>
      <c r="I61" s="6">
        <v>2178.7</v>
      </c>
      <c r="J61" s="9">
        <f t="shared" si="1"/>
        <v>2163.4491</v>
      </c>
      <c r="P61" s="11">
        <f>SUM(G60:G61)</f>
        <v>201.05</v>
      </c>
    </row>
    <row r="62">
      <c r="A62" s="5"/>
      <c r="B62" s="6">
        <v>3.0</v>
      </c>
      <c r="D62" s="6">
        <v>2.0</v>
      </c>
      <c r="E62" s="9">
        <f>43.11+200</f>
        <v>243.11</v>
      </c>
      <c r="F62" s="6">
        <v>1.0</v>
      </c>
      <c r="G62" s="25">
        <v>100.84</v>
      </c>
      <c r="H62" s="8">
        <v>21.7</v>
      </c>
      <c r="I62" s="6">
        <v>2196.3</v>
      </c>
      <c r="J62" s="9">
        <f t="shared" si="1"/>
        <v>2180.9259</v>
      </c>
      <c r="K62" s="9">
        <f>AVERAGE(J62:J63)</f>
        <v>2179.7343</v>
      </c>
    </row>
    <row r="63">
      <c r="A63" s="5"/>
      <c r="B63" s="6">
        <v>3.0</v>
      </c>
      <c r="D63" s="6">
        <v>2.0</v>
      </c>
      <c r="F63" s="6">
        <v>2.0</v>
      </c>
      <c r="G63" s="25">
        <v>100.71</v>
      </c>
      <c r="H63" s="8">
        <v>21.7</v>
      </c>
      <c r="I63" s="6">
        <v>2193.9</v>
      </c>
      <c r="J63" s="9">
        <f t="shared" si="1"/>
        <v>2178.5427</v>
      </c>
      <c r="P63" s="11">
        <f>SUM(G62:G63)</f>
        <v>201.55</v>
      </c>
    </row>
    <row r="64">
      <c r="A64" s="5"/>
      <c r="B64" s="6">
        <v>3.0</v>
      </c>
      <c r="D64" s="6">
        <v>3.0</v>
      </c>
      <c r="E64" s="9">
        <f>44.05+200</f>
        <v>244.05</v>
      </c>
      <c r="F64" s="6">
        <v>1.0</v>
      </c>
      <c r="G64" s="6" t="s">
        <v>27</v>
      </c>
      <c r="H64" s="8"/>
      <c r="J64" s="9">
        <f t="shared" si="1"/>
        <v>0</v>
      </c>
      <c r="K64" s="9">
        <v>2167.2225</v>
      </c>
    </row>
    <row r="65">
      <c r="A65" s="5"/>
      <c r="B65" s="6">
        <v>3.0</v>
      </c>
      <c r="D65" s="6">
        <v>3.0</v>
      </c>
      <c r="F65" s="6">
        <v>2.0</v>
      </c>
      <c r="G65" s="25">
        <v>100.72</v>
      </c>
      <c r="H65" s="8"/>
      <c r="I65" s="6">
        <v>2182.5</v>
      </c>
      <c r="J65" s="9">
        <f t="shared" si="1"/>
        <v>2167.2225</v>
      </c>
      <c r="P65" s="9">
        <f>SUM(G64:G65)</f>
        <v>100.72</v>
      </c>
    </row>
    <row r="66">
      <c r="A66" s="5"/>
      <c r="B66" s="6">
        <v>3.0</v>
      </c>
      <c r="D66" s="6">
        <v>4.0</v>
      </c>
      <c r="E66" s="9">
        <f>38.86+200</f>
        <v>238.86</v>
      </c>
      <c r="F66" s="6">
        <v>1.0</v>
      </c>
      <c r="G66" s="27">
        <v>100.41</v>
      </c>
      <c r="H66" s="8"/>
      <c r="I66" s="6">
        <v>2189.7</v>
      </c>
      <c r="J66" s="9">
        <f t="shared" si="1"/>
        <v>2174.3721</v>
      </c>
      <c r="K66" s="9">
        <f>AVERAGE(J66:J67)</f>
        <v>2173.1805</v>
      </c>
    </row>
    <row r="67">
      <c r="A67" s="5"/>
      <c r="B67" s="6">
        <v>3.0</v>
      </c>
      <c r="D67" s="6">
        <v>4.0</v>
      </c>
      <c r="F67" s="6">
        <v>2.0</v>
      </c>
      <c r="G67" s="25">
        <v>100.07</v>
      </c>
      <c r="H67" s="8">
        <v>21.7</v>
      </c>
      <c r="I67" s="6">
        <v>2187.3</v>
      </c>
      <c r="J67" s="9">
        <f t="shared" si="1"/>
        <v>2171.9889</v>
      </c>
      <c r="P67" s="11">
        <f>SUM(G66:G67)</f>
        <v>200.48</v>
      </c>
    </row>
    <row r="68">
      <c r="A68" s="5"/>
      <c r="B68" s="6">
        <v>3.0</v>
      </c>
      <c r="D68" s="6">
        <v>5.0</v>
      </c>
      <c r="E68" s="9">
        <f>41.77+200</f>
        <v>241.77</v>
      </c>
      <c r="F68" s="6">
        <v>1.0</v>
      </c>
      <c r="G68" s="25">
        <v>100.65</v>
      </c>
      <c r="H68" s="8">
        <v>21.7</v>
      </c>
      <c r="I68" s="6">
        <v>2174.8</v>
      </c>
      <c r="J68" s="9">
        <f t="shared" si="1"/>
        <v>2159.5764</v>
      </c>
      <c r="K68" s="9">
        <f>AVERAGE(J68:J69)</f>
        <v>2161.4631</v>
      </c>
    </row>
    <row r="69">
      <c r="A69" s="5"/>
      <c r="B69" s="6">
        <v>3.0</v>
      </c>
      <c r="D69" s="6">
        <v>5.0</v>
      </c>
      <c r="F69" s="6">
        <v>2.0</v>
      </c>
      <c r="G69" s="25">
        <v>100.07</v>
      </c>
      <c r="H69" s="8">
        <v>21.6</v>
      </c>
      <c r="I69" s="6">
        <v>2178.6</v>
      </c>
      <c r="J69" s="9">
        <f t="shared" si="1"/>
        <v>2163.3498</v>
      </c>
      <c r="P69" s="11">
        <f>SUM(G68:G69)</f>
        <v>200.72</v>
      </c>
    </row>
    <row r="70">
      <c r="A70" s="5"/>
      <c r="B70" s="6">
        <v>3.0</v>
      </c>
      <c r="D70" s="6">
        <v>6.0</v>
      </c>
      <c r="E70" s="9">
        <f>43.17+200</f>
        <v>243.17</v>
      </c>
      <c r="F70" s="6">
        <v>1.0</v>
      </c>
      <c r="G70" s="25">
        <v>100.17</v>
      </c>
      <c r="H70" s="8">
        <v>21.8</v>
      </c>
      <c r="I70" s="6">
        <v>2186.8</v>
      </c>
      <c r="J70" s="9">
        <f t="shared" si="1"/>
        <v>2171.4924</v>
      </c>
      <c r="K70" s="9">
        <f>AVERAGE(J70:J71)</f>
        <v>2172.53505</v>
      </c>
    </row>
    <row r="71">
      <c r="A71" s="5"/>
      <c r="B71" s="6">
        <v>3.0</v>
      </c>
      <c r="D71" s="6">
        <v>6.0</v>
      </c>
      <c r="F71" s="6">
        <v>2.0</v>
      </c>
      <c r="G71" s="25">
        <v>100.21</v>
      </c>
      <c r="H71" s="8">
        <v>21.6</v>
      </c>
      <c r="I71" s="6">
        <v>2188.9</v>
      </c>
      <c r="J71" s="9">
        <f t="shared" si="1"/>
        <v>2173.5777</v>
      </c>
      <c r="P71" s="11">
        <f>SUM(G70:G71)</f>
        <v>200.38</v>
      </c>
    </row>
    <row r="72">
      <c r="A72" s="5"/>
      <c r="B72" s="6">
        <v>3.0</v>
      </c>
      <c r="D72" s="6">
        <v>7.0</v>
      </c>
      <c r="E72" s="9">
        <f>36.6+200</f>
        <v>236.6</v>
      </c>
      <c r="F72" s="6">
        <v>1.0</v>
      </c>
      <c r="G72" s="25">
        <v>100.41</v>
      </c>
      <c r="H72" s="8">
        <v>21.4</v>
      </c>
      <c r="I72" s="6">
        <v>2194.4</v>
      </c>
      <c r="J72" s="9">
        <f t="shared" si="1"/>
        <v>2179.0392</v>
      </c>
      <c r="K72" s="9">
        <f>AVERAGE(J72:J73)</f>
        <v>2176.3581</v>
      </c>
    </row>
    <row r="73">
      <c r="A73" s="5"/>
      <c r="B73" s="6">
        <v>3.0</v>
      </c>
      <c r="D73" s="6">
        <v>7.0</v>
      </c>
      <c r="F73" s="6">
        <v>2.0</v>
      </c>
      <c r="G73" s="25">
        <v>100.15</v>
      </c>
      <c r="H73" s="8">
        <v>21.4</v>
      </c>
      <c r="I73" s="6">
        <v>2189.0</v>
      </c>
      <c r="J73" s="9">
        <f t="shared" si="1"/>
        <v>2173.677</v>
      </c>
      <c r="P73" s="11">
        <f>SUM(G72:G73)</f>
        <v>200.56</v>
      </c>
    </row>
    <row r="74">
      <c r="A74" s="5"/>
      <c r="B74" s="6">
        <v>3.0</v>
      </c>
      <c r="D74" s="6">
        <v>8.0</v>
      </c>
      <c r="E74" s="9">
        <f>42.42+200</f>
        <v>242.42</v>
      </c>
      <c r="F74" s="6">
        <v>1.0</v>
      </c>
      <c r="G74" s="25">
        <v>100.46</v>
      </c>
      <c r="H74" s="8">
        <v>21.5</v>
      </c>
      <c r="I74" s="6">
        <v>2189.4</v>
      </c>
      <c r="J74" s="9">
        <f t="shared" si="1"/>
        <v>2174.0742</v>
      </c>
      <c r="K74" s="9">
        <f>AVERAGE(J74:J75)</f>
        <v>2177.7483</v>
      </c>
    </row>
    <row r="75">
      <c r="A75" s="5"/>
      <c r="B75" s="6">
        <v>3.0</v>
      </c>
      <c r="D75" s="6">
        <v>8.0</v>
      </c>
      <c r="F75" s="6">
        <v>2.0</v>
      </c>
      <c r="G75" s="25">
        <v>100.21</v>
      </c>
      <c r="H75" s="8">
        <v>21.5</v>
      </c>
      <c r="I75" s="6">
        <v>2196.8</v>
      </c>
      <c r="J75" s="9">
        <f t="shared" si="1"/>
        <v>2181.4224</v>
      </c>
      <c r="P75" s="11">
        <f>SUM(G74:G75)</f>
        <v>200.67</v>
      </c>
    </row>
    <row r="76">
      <c r="A76" s="5"/>
      <c r="B76" s="6">
        <v>3.0</v>
      </c>
      <c r="D76" s="6">
        <v>9.0</v>
      </c>
      <c r="E76" s="9">
        <f>42.35+200</f>
        <v>242.35</v>
      </c>
      <c r="F76" s="6">
        <v>1.0</v>
      </c>
      <c r="G76" s="27">
        <v>100.77</v>
      </c>
      <c r="H76" s="8">
        <v>21.4</v>
      </c>
      <c r="I76" s="6">
        <v>2191.5</v>
      </c>
      <c r="J76" s="9">
        <f t="shared" si="1"/>
        <v>2176.1595</v>
      </c>
      <c r="K76" s="9">
        <f>AVERAGE(J76:J77)</f>
        <v>2175.41475</v>
      </c>
    </row>
    <row r="77">
      <c r="A77" s="5"/>
      <c r="B77" s="6">
        <v>3.0</v>
      </c>
      <c r="D77" s="6">
        <v>9.0</v>
      </c>
      <c r="F77" s="6">
        <v>2.0</v>
      </c>
      <c r="G77" s="25">
        <v>100.49</v>
      </c>
      <c r="H77" s="8">
        <v>21.1</v>
      </c>
      <c r="I77" s="6">
        <v>2190.0</v>
      </c>
      <c r="J77" s="9">
        <f t="shared" si="1"/>
        <v>2174.67</v>
      </c>
      <c r="P77" s="11">
        <f>SUM(G76:G77)</f>
        <v>201.26</v>
      </c>
    </row>
    <row r="78">
      <c r="A78" s="5"/>
      <c r="B78" s="6">
        <v>3.0</v>
      </c>
      <c r="D78" s="6">
        <v>10.0</v>
      </c>
      <c r="E78" s="9">
        <f>4412+200</f>
        <v>4612</v>
      </c>
      <c r="F78" s="6">
        <v>1.0</v>
      </c>
      <c r="G78" s="25">
        <v>100.05</v>
      </c>
      <c r="H78" s="8">
        <v>21.4</v>
      </c>
      <c r="I78" s="6">
        <v>2204.6</v>
      </c>
      <c r="J78" s="9">
        <f t="shared" si="1"/>
        <v>2189.1678</v>
      </c>
      <c r="K78" s="9">
        <f>AVERAGE(J78:J79)</f>
        <v>2189.61465</v>
      </c>
    </row>
    <row r="79">
      <c r="A79" s="5"/>
      <c r="B79" s="6">
        <v>3.0</v>
      </c>
      <c r="D79" s="6">
        <v>10.0</v>
      </c>
      <c r="F79" s="6">
        <v>2.0</v>
      </c>
      <c r="G79" s="25">
        <v>100.12</v>
      </c>
      <c r="H79" s="8">
        <v>21.5</v>
      </c>
      <c r="I79" s="6">
        <v>2205.5</v>
      </c>
      <c r="J79" s="9">
        <f t="shared" si="1"/>
        <v>2190.0615</v>
      </c>
      <c r="P79" s="11">
        <f>SUM(G78:G79)</f>
        <v>200.17</v>
      </c>
    </row>
    <row r="80">
      <c r="A80" s="5"/>
      <c r="B80" s="6">
        <v>3.0</v>
      </c>
      <c r="D80" s="6">
        <v>11.0</v>
      </c>
      <c r="E80" s="9">
        <f>37.7+200</f>
        <v>237.7</v>
      </c>
      <c r="F80" s="6">
        <v>1.0</v>
      </c>
      <c r="G80" s="25">
        <v>100.82</v>
      </c>
      <c r="H80" s="8">
        <v>21.2</v>
      </c>
      <c r="I80" s="6">
        <v>2200.0</v>
      </c>
      <c r="J80" s="9">
        <f t="shared" si="1"/>
        <v>2184.6</v>
      </c>
      <c r="K80" s="9">
        <f>AVERAGE(J80:J81)</f>
        <v>2178.7413</v>
      </c>
    </row>
    <row r="81">
      <c r="A81" s="5"/>
      <c r="B81" s="6">
        <v>3.0</v>
      </c>
      <c r="D81" s="6">
        <v>11.0</v>
      </c>
      <c r="F81" s="6">
        <v>2.0</v>
      </c>
      <c r="G81" s="25">
        <v>100.59</v>
      </c>
      <c r="H81" s="8">
        <v>21.2</v>
      </c>
      <c r="I81" s="6">
        <v>2188.2</v>
      </c>
      <c r="J81" s="9">
        <f t="shared" si="1"/>
        <v>2172.8826</v>
      </c>
      <c r="P81" s="11">
        <f>SUM(G80:G81)</f>
        <v>201.41</v>
      </c>
    </row>
    <row r="82">
      <c r="A82" s="5"/>
      <c r="B82" s="6">
        <v>3.0</v>
      </c>
      <c r="D82" s="6">
        <v>12.0</v>
      </c>
      <c r="E82" s="9">
        <f>25.09+200</f>
        <v>225.09</v>
      </c>
      <c r="F82" s="6">
        <v>1.0</v>
      </c>
      <c r="G82" s="27">
        <v>100.64</v>
      </c>
      <c r="H82" s="8">
        <v>21.3</v>
      </c>
      <c r="I82" s="6">
        <v>2192.9</v>
      </c>
      <c r="J82" s="9">
        <f t="shared" si="1"/>
        <v>2177.5497</v>
      </c>
      <c r="K82" s="9">
        <f>AVERAGE(J82:J83)</f>
        <v>2179.28745</v>
      </c>
    </row>
    <row r="83">
      <c r="A83" s="5"/>
      <c r="B83" s="6">
        <v>3.0</v>
      </c>
      <c r="D83" s="6">
        <v>12.0</v>
      </c>
      <c r="F83" s="6">
        <v>2.0</v>
      </c>
      <c r="G83" s="25">
        <v>100.33</v>
      </c>
      <c r="H83" s="8">
        <v>21.1</v>
      </c>
      <c r="I83" s="6">
        <v>2196.4</v>
      </c>
      <c r="J83" s="9">
        <f t="shared" si="1"/>
        <v>2181.0252</v>
      </c>
      <c r="P83" s="11">
        <f>SUM(G82:G83)</f>
        <v>200.97</v>
      </c>
    </row>
    <row r="84">
      <c r="A84" s="5"/>
      <c r="B84" s="6">
        <v>3.0</v>
      </c>
      <c r="D84" s="6">
        <v>13.0</v>
      </c>
      <c r="E84" s="9">
        <f>41.28+200</f>
        <v>241.28</v>
      </c>
      <c r="F84" s="6">
        <v>1.0</v>
      </c>
      <c r="G84" s="25">
        <v>100.31</v>
      </c>
      <c r="H84" s="8">
        <v>21.3</v>
      </c>
      <c r="I84" s="6">
        <v>2188.1</v>
      </c>
      <c r="J84" s="9">
        <f t="shared" si="1"/>
        <v>2172.7833</v>
      </c>
      <c r="K84" s="9">
        <f>AVERAGE(J84:J85)</f>
        <v>2175.5637</v>
      </c>
    </row>
    <row r="85">
      <c r="A85" s="5"/>
      <c r="B85" s="6">
        <v>3.0</v>
      </c>
      <c r="D85" s="6">
        <v>13.0</v>
      </c>
      <c r="F85" s="6">
        <v>2.0</v>
      </c>
      <c r="G85" s="25">
        <v>100.44</v>
      </c>
      <c r="H85" s="8">
        <v>21.3</v>
      </c>
      <c r="I85" s="6">
        <v>2193.7</v>
      </c>
      <c r="J85" s="9">
        <f t="shared" si="1"/>
        <v>2178.3441</v>
      </c>
      <c r="P85" s="11">
        <f>SUM(G84:G85)</f>
        <v>200.75</v>
      </c>
    </row>
    <row r="86">
      <c r="A86" s="5"/>
      <c r="B86" s="6">
        <v>4.0</v>
      </c>
      <c r="D86" s="1">
        <v>14.0</v>
      </c>
      <c r="F86" s="6">
        <v>1.0</v>
      </c>
      <c r="G86" s="25">
        <v>100.51</v>
      </c>
      <c r="H86" s="8">
        <v>21.3</v>
      </c>
      <c r="I86" s="6">
        <v>2192.4</v>
      </c>
      <c r="J86" s="9">
        <f t="shared" si="1"/>
        <v>2177.0532</v>
      </c>
      <c r="K86" s="9">
        <f>AVERAGE(J86:J87)</f>
        <v>2173.52805</v>
      </c>
    </row>
    <row r="87">
      <c r="A87" s="5"/>
      <c r="B87" s="6">
        <v>4.0</v>
      </c>
      <c r="D87" s="1">
        <v>14.0</v>
      </c>
      <c r="F87" s="6">
        <v>2.0</v>
      </c>
      <c r="G87" s="25">
        <v>100.23</v>
      </c>
      <c r="H87" s="8">
        <v>21.3</v>
      </c>
      <c r="I87" s="6">
        <v>2185.3</v>
      </c>
      <c r="J87" s="9">
        <f t="shared" si="1"/>
        <v>2170.0029</v>
      </c>
      <c r="P87" s="11">
        <f>SUM(G86:G87)</f>
        <v>200.74</v>
      </c>
    </row>
    <row r="88">
      <c r="A88" s="5"/>
      <c r="B88" s="6">
        <v>4.0</v>
      </c>
      <c r="D88" s="6">
        <v>15.0</v>
      </c>
      <c r="E88" s="9">
        <f>25.83+200</f>
        <v>225.83</v>
      </c>
      <c r="F88" s="6">
        <v>1.0</v>
      </c>
      <c r="G88" s="25">
        <v>100.79</v>
      </c>
      <c r="H88" s="8">
        <v>21.1</v>
      </c>
      <c r="I88" s="6">
        <v>2189.3</v>
      </c>
      <c r="J88" s="9">
        <f t="shared" si="1"/>
        <v>2173.9749</v>
      </c>
      <c r="K88" s="9">
        <f>AVERAGE(J88:J89)</f>
        <v>2175.21615</v>
      </c>
    </row>
    <row r="89">
      <c r="A89" s="5"/>
      <c r="B89" s="6">
        <v>4.0</v>
      </c>
      <c r="D89" s="6">
        <v>15.0</v>
      </c>
      <c r="F89" s="6">
        <v>2.0</v>
      </c>
      <c r="G89" s="25">
        <v>100.91</v>
      </c>
      <c r="H89" s="8">
        <v>21.2</v>
      </c>
      <c r="I89" s="6">
        <v>2191.8</v>
      </c>
      <c r="J89" s="9">
        <f t="shared" si="1"/>
        <v>2176.4574</v>
      </c>
      <c r="P89" s="11">
        <f>SUM(G88:G89)</f>
        <v>201.7</v>
      </c>
    </row>
    <row r="90">
      <c r="A90" s="5"/>
      <c r="B90" s="6">
        <v>4.0</v>
      </c>
      <c r="D90" s="6">
        <v>16.0</v>
      </c>
      <c r="E90" s="9">
        <f>41.02+200</f>
        <v>241.02</v>
      </c>
      <c r="F90" s="6">
        <v>1.0</v>
      </c>
      <c r="G90" s="25">
        <v>100.77</v>
      </c>
      <c r="H90" s="8">
        <v>21.4</v>
      </c>
      <c r="I90" s="6">
        <v>2177.4</v>
      </c>
      <c r="J90" s="9">
        <f t="shared" si="1"/>
        <v>2162.1582</v>
      </c>
      <c r="K90" s="9">
        <f>AVERAGE(J90:J91)</f>
        <v>2163.79665</v>
      </c>
    </row>
    <row r="91">
      <c r="A91" s="5"/>
      <c r="B91" s="6">
        <v>4.0</v>
      </c>
      <c r="D91" s="6">
        <v>16.0</v>
      </c>
      <c r="F91" s="6">
        <v>2.0</v>
      </c>
      <c r="G91" s="25">
        <v>100.44</v>
      </c>
      <c r="H91" s="8">
        <v>21.3</v>
      </c>
      <c r="I91" s="6">
        <v>2180.7</v>
      </c>
      <c r="J91" s="9">
        <f t="shared" si="1"/>
        <v>2165.4351</v>
      </c>
      <c r="P91" s="11">
        <f>SUM(G90:G91)</f>
        <v>201.21</v>
      </c>
    </row>
    <row r="92">
      <c r="A92" s="5"/>
      <c r="B92" s="6">
        <v>4.0</v>
      </c>
      <c r="D92" s="6">
        <v>17.0</v>
      </c>
      <c r="E92" s="9">
        <f>42.09+200</f>
        <v>242.09</v>
      </c>
      <c r="F92" s="6">
        <v>1.0</v>
      </c>
      <c r="G92" s="27">
        <v>100.27</v>
      </c>
      <c r="H92" s="8">
        <v>21.1</v>
      </c>
      <c r="I92" s="6">
        <v>2202.2</v>
      </c>
      <c r="J92" s="9">
        <f t="shared" si="1"/>
        <v>2186.7846</v>
      </c>
      <c r="K92" s="9">
        <f>AVERAGE(J92:J93)</f>
        <v>2183.35875</v>
      </c>
    </row>
    <row r="93">
      <c r="A93" s="5"/>
      <c r="B93" s="6">
        <v>4.0</v>
      </c>
      <c r="D93" s="6">
        <v>17.0</v>
      </c>
      <c r="F93" s="6">
        <v>2.0</v>
      </c>
      <c r="G93" s="25">
        <v>100.37</v>
      </c>
      <c r="H93" s="8">
        <v>21.2</v>
      </c>
      <c r="I93" s="6">
        <v>2195.3</v>
      </c>
      <c r="J93" s="9">
        <f t="shared" si="1"/>
        <v>2179.9329</v>
      </c>
      <c r="P93" s="11">
        <f>SUM(G92:G93)</f>
        <v>200.64</v>
      </c>
    </row>
    <row r="94">
      <c r="A94" s="5"/>
      <c r="B94" s="6">
        <v>4.0</v>
      </c>
      <c r="D94" s="6">
        <v>18.0</v>
      </c>
      <c r="E94" s="9">
        <f>43.74+200</f>
        <v>243.74</v>
      </c>
      <c r="F94" s="6">
        <v>1.0</v>
      </c>
      <c r="G94" s="25">
        <v>100.55</v>
      </c>
      <c r="H94" s="8">
        <v>21.3</v>
      </c>
      <c r="I94" s="6">
        <v>2202.3</v>
      </c>
      <c r="J94" s="9">
        <f t="shared" si="1"/>
        <v>2186.8839</v>
      </c>
      <c r="K94" s="9">
        <f>AVERAGE(J94:J95)</f>
        <v>2184.94755</v>
      </c>
    </row>
    <row r="95">
      <c r="A95" s="5"/>
      <c r="B95" s="6">
        <v>4.0</v>
      </c>
      <c r="D95" s="6">
        <v>18.0</v>
      </c>
      <c r="F95" s="6">
        <v>2.0</v>
      </c>
      <c r="G95" s="25">
        <v>100.2</v>
      </c>
      <c r="H95" s="8">
        <v>21.2</v>
      </c>
      <c r="I95" s="6">
        <v>2198.4</v>
      </c>
      <c r="J95" s="9">
        <f t="shared" si="1"/>
        <v>2183.0112</v>
      </c>
      <c r="P95" s="11">
        <f>SUM(G94:G95)</f>
        <v>200.75</v>
      </c>
    </row>
    <row r="96">
      <c r="A96" s="5"/>
      <c r="B96" s="6">
        <v>4.0</v>
      </c>
      <c r="D96" s="6">
        <v>19.0</v>
      </c>
      <c r="E96" s="9">
        <f>42.76+200</f>
        <v>242.76</v>
      </c>
      <c r="F96" s="6">
        <v>1.0</v>
      </c>
      <c r="G96" s="25">
        <v>100.54</v>
      </c>
      <c r="H96" s="8">
        <v>21.2</v>
      </c>
      <c r="I96" s="6">
        <v>2200.6</v>
      </c>
      <c r="J96" s="9">
        <f t="shared" si="1"/>
        <v>2185.1958</v>
      </c>
      <c r="K96" s="9">
        <f>AVERAGE(J96:J97)</f>
        <v>2184.1035</v>
      </c>
    </row>
    <row r="97">
      <c r="A97" s="5"/>
      <c r="B97" s="6">
        <v>4.0</v>
      </c>
      <c r="D97" s="6">
        <v>19.0</v>
      </c>
      <c r="F97" s="6">
        <v>2.0</v>
      </c>
      <c r="G97" s="25">
        <v>100.24</v>
      </c>
      <c r="H97" s="8">
        <v>21.3</v>
      </c>
      <c r="I97" s="6">
        <v>2198.4</v>
      </c>
      <c r="J97" s="9">
        <f t="shared" si="1"/>
        <v>2183.0112</v>
      </c>
      <c r="P97" s="11">
        <f>SUM(G96:G97)</f>
        <v>200.78</v>
      </c>
    </row>
    <row r="98">
      <c r="A98" s="5"/>
      <c r="B98" s="6">
        <v>4.0</v>
      </c>
      <c r="D98" s="6">
        <v>20.0</v>
      </c>
      <c r="E98" s="9">
        <f>39.16+200</f>
        <v>239.16</v>
      </c>
      <c r="F98" s="6">
        <v>1.0</v>
      </c>
      <c r="G98" s="25">
        <v>100.52</v>
      </c>
      <c r="H98" s="8">
        <v>21.2</v>
      </c>
      <c r="I98" s="6">
        <v>2175.3</v>
      </c>
      <c r="J98" s="9">
        <f t="shared" si="1"/>
        <v>2160.0729</v>
      </c>
      <c r="K98" s="9">
        <f>AVERAGE(J98:J99)</f>
        <v>2160.8673</v>
      </c>
    </row>
    <row r="99">
      <c r="A99" s="5"/>
      <c r="B99" s="6">
        <v>4.0</v>
      </c>
      <c r="D99" s="6">
        <v>20.0</v>
      </c>
      <c r="F99" s="6">
        <v>2.0</v>
      </c>
      <c r="G99" s="25">
        <v>100.24</v>
      </c>
      <c r="H99" s="8">
        <v>21.2</v>
      </c>
      <c r="I99" s="6">
        <v>2176.9</v>
      </c>
      <c r="J99" s="9">
        <f t="shared" si="1"/>
        <v>2161.6617</v>
      </c>
      <c r="P99" s="11">
        <f>SUM(G98:G99)</f>
        <v>200.76</v>
      </c>
    </row>
    <row r="100">
      <c r="A100" s="5"/>
      <c r="B100" s="6">
        <v>4.0</v>
      </c>
      <c r="D100" s="6">
        <v>21.0</v>
      </c>
      <c r="E100" s="9">
        <f>35.82+200</f>
        <v>235.82</v>
      </c>
      <c r="F100" s="6">
        <v>1.0</v>
      </c>
      <c r="G100" s="25">
        <v>100.11</v>
      </c>
      <c r="H100" s="8">
        <v>21.4</v>
      </c>
      <c r="I100" s="6">
        <v>2184.1</v>
      </c>
      <c r="J100" s="9">
        <f t="shared" si="1"/>
        <v>2168.8113</v>
      </c>
      <c r="K100" s="9">
        <f>AVERAGE(J100:J101)</f>
        <v>2173.03155</v>
      </c>
    </row>
    <row r="101">
      <c r="A101" s="5"/>
      <c r="B101" s="6">
        <v>4.0</v>
      </c>
      <c r="D101" s="6">
        <v>21.0</v>
      </c>
      <c r="F101" s="6">
        <v>2.0</v>
      </c>
      <c r="G101" s="25">
        <v>100.52</v>
      </c>
      <c r="H101" s="8">
        <v>21.3</v>
      </c>
      <c r="I101" s="6">
        <v>2192.6</v>
      </c>
      <c r="J101" s="9">
        <f t="shared" si="1"/>
        <v>2177.2518</v>
      </c>
      <c r="P101" s="11">
        <f>SUM(G100:G101)</f>
        <v>200.63</v>
      </c>
    </row>
    <row r="102">
      <c r="A102" s="5"/>
      <c r="B102" s="6">
        <v>4.0</v>
      </c>
      <c r="D102" s="6">
        <v>22.0</v>
      </c>
      <c r="E102" s="9">
        <f>43.49+200</f>
        <v>243.49</v>
      </c>
      <c r="F102" s="6">
        <v>1.0</v>
      </c>
      <c r="G102" s="27">
        <v>100.54</v>
      </c>
      <c r="H102" s="8">
        <v>21.4</v>
      </c>
      <c r="I102" s="6">
        <v>2196.0</v>
      </c>
      <c r="J102" s="9">
        <f t="shared" si="1"/>
        <v>2180.628</v>
      </c>
      <c r="K102" s="9">
        <f>AVERAGE(J102:J103)</f>
        <v>2182.96155</v>
      </c>
    </row>
    <row r="103">
      <c r="A103" s="5"/>
      <c r="B103" s="6">
        <v>4.0</v>
      </c>
      <c r="D103" s="6">
        <v>22.0</v>
      </c>
      <c r="F103" s="6">
        <v>2.0</v>
      </c>
      <c r="G103" s="25">
        <v>100.29</v>
      </c>
      <c r="H103" s="8">
        <v>21.2</v>
      </c>
      <c r="I103" s="6">
        <v>2200.7</v>
      </c>
      <c r="J103" s="9">
        <f t="shared" si="1"/>
        <v>2185.2951</v>
      </c>
      <c r="P103" s="11">
        <f>SUM(G102:G103)</f>
        <v>200.83</v>
      </c>
    </row>
    <row r="104">
      <c r="A104" s="5"/>
      <c r="B104" s="6">
        <v>4.0</v>
      </c>
      <c r="D104" s="6">
        <v>23.0</v>
      </c>
      <c r="E104" s="9">
        <f>36.44+200</f>
        <v>236.44</v>
      </c>
      <c r="F104" s="6">
        <v>1.0</v>
      </c>
      <c r="G104" s="25">
        <v>100.47</v>
      </c>
      <c r="H104" s="8">
        <v>21.4</v>
      </c>
      <c r="I104" s="6">
        <v>2181.7</v>
      </c>
      <c r="J104" s="9">
        <f t="shared" si="1"/>
        <v>2166.4281</v>
      </c>
      <c r="K104" s="9">
        <f>AVERAGE(J104:J105)</f>
        <v>2165.58405</v>
      </c>
    </row>
    <row r="105">
      <c r="A105" s="5"/>
      <c r="B105" s="6">
        <v>4.0</v>
      </c>
      <c r="D105" s="6">
        <v>23.0</v>
      </c>
      <c r="F105" s="6">
        <v>2.0</v>
      </c>
      <c r="G105" s="25">
        <v>100.09</v>
      </c>
      <c r="H105" s="8">
        <v>21.5</v>
      </c>
      <c r="I105" s="6">
        <v>2180.0</v>
      </c>
      <c r="J105" s="9">
        <f t="shared" si="1"/>
        <v>2164.74</v>
      </c>
      <c r="P105" s="11">
        <f>SUM(G104:G105)</f>
        <v>200.56</v>
      </c>
    </row>
    <row r="106">
      <c r="A106" s="5"/>
      <c r="B106" s="6">
        <v>4.0</v>
      </c>
      <c r="D106" s="6">
        <v>24.0</v>
      </c>
      <c r="E106" s="9">
        <f>42.11+200</f>
        <v>242.11</v>
      </c>
      <c r="F106" s="6">
        <v>1.0</v>
      </c>
      <c r="G106" s="25">
        <v>100.11</v>
      </c>
      <c r="H106" s="8">
        <v>21.5</v>
      </c>
      <c r="I106" s="6">
        <v>2195.9</v>
      </c>
      <c r="J106" s="9">
        <f t="shared" si="1"/>
        <v>2180.5287</v>
      </c>
      <c r="K106" s="9">
        <f>AVERAGE(J106:J107)</f>
        <v>2180.8266</v>
      </c>
    </row>
    <row r="107">
      <c r="A107" s="5"/>
      <c r="B107" s="6">
        <v>4.0</v>
      </c>
      <c r="D107" s="6">
        <v>24.0</v>
      </c>
      <c r="F107" s="6">
        <v>2.0</v>
      </c>
      <c r="G107" s="25">
        <v>100.02</v>
      </c>
      <c r="H107" s="8">
        <v>21.3</v>
      </c>
      <c r="I107" s="6">
        <v>2196.5</v>
      </c>
      <c r="J107" s="9">
        <f t="shared" si="1"/>
        <v>2181.1245</v>
      </c>
      <c r="P107" s="11">
        <f>SUM(G106:G107)</f>
        <v>200.13</v>
      </c>
    </row>
    <row r="108">
      <c r="A108" s="5"/>
      <c r="B108" s="6">
        <v>4.0</v>
      </c>
      <c r="D108" s="6">
        <v>25.0</v>
      </c>
      <c r="E108" s="9">
        <f>37.91+200</f>
        <v>237.91</v>
      </c>
      <c r="F108" s="6">
        <v>1.0</v>
      </c>
      <c r="G108" s="27">
        <v>100.32</v>
      </c>
      <c r="H108" s="8">
        <v>21.4</v>
      </c>
      <c r="I108" s="6">
        <v>2194.6</v>
      </c>
      <c r="J108" s="9">
        <f t="shared" si="1"/>
        <v>2179.2378</v>
      </c>
      <c r="K108" s="9">
        <f>AVERAGE(J108:J109)</f>
        <v>2182.06785</v>
      </c>
    </row>
    <row r="109">
      <c r="A109" s="5"/>
      <c r="B109" s="6">
        <v>4.0</v>
      </c>
      <c r="D109" s="6">
        <v>25.0</v>
      </c>
      <c r="F109" s="6">
        <v>2.0</v>
      </c>
      <c r="G109" s="25">
        <v>100.73</v>
      </c>
      <c r="H109" s="8">
        <v>21.5</v>
      </c>
      <c r="I109" s="6">
        <v>2200.3</v>
      </c>
      <c r="J109" s="9">
        <f t="shared" si="1"/>
        <v>2184.8979</v>
      </c>
      <c r="P109" s="11">
        <f>SUM(G108:G109)</f>
        <v>201.05</v>
      </c>
    </row>
    <row r="110">
      <c r="A110" s="5"/>
      <c r="B110" s="6">
        <v>4.0</v>
      </c>
      <c r="D110" s="6">
        <v>26.0</v>
      </c>
      <c r="E110" s="9">
        <f>38.47+200</f>
        <v>238.47</v>
      </c>
      <c r="F110" s="6">
        <v>1.0</v>
      </c>
      <c r="G110" s="25">
        <v>100.39</v>
      </c>
      <c r="H110" s="8">
        <v>21.6</v>
      </c>
      <c r="I110" s="6">
        <v>2196.0</v>
      </c>
      <c r="J110" s="9">
        <f t="shared" si="1"/>
        <v>2180.628</v>
      </c>
      <c r="K110" s="9">
        <f>AVERAGE(J110:J111)</f>
        <v>2180.4294</v>
      </c>
    </row>
    <row r="111">
      <c r="A111" s="5"/>
      <c r="B111" s="6">
        <v>4.0</v>
      </c>
      <c r="D111" s="6">
        <v>26.0</v>
      </c>
      <c r="F111" s="6">
        <v>2.0</v>
      </c>
      <c r="G111" s="25">
        <v>100.58</v>
      </c>
      <c r="H111" s="8">
        <v>21.4</v>
      </c>
      <c r="I111" s="6">
        <v>2195.6</v>
      </c>
      <c r="J111" s="9">
        <f t="shared" si="1"/>
        <v>2180.2308</v>
      </c>
      <c r="P111" s="11">
        <f>SUM(G110:G111)</f>
        <v>200.97</v>
      </c>
    </row>
    <row r="112">
      <c r="A112" s="5"/>
      <c r="D112" s="13"/>
      <c r="G112" s="28"/>
      <c r="H112" s="8"/>
    </row>
    <row r="113">
      <c r="A113" s="5"/>
      <c r="D113" s="13"/>
      <c r="G113" s="28"/>
      <c r="H113" s="8"/>
    </row>
    <row r="114">
      <c r="A114" s="5"/>
      <c r="D114" s="13"/>
      <c r="G114" s="28"/>
      <c r="H114" s="8"/>
    </row>
    <row r="115">
      <c r="A115" s="5"/>
      <c r="D115" s="13"/>
      <c r="G115" s="28"/>
      <c r="H115" s="8"/>
    </row>
    <row r="116">
      <c r="A116" s="5"/>
      <c r="D116" s="13"/>
      <c r="G116" s="28"/>
      <c r="H116" s="8"/>
    </row>
    <row r="117">
      <c r="A117" s="5"/>
      <c r="D117" s="13"/>
      <c r="G117" s="28"/>
      <c r="H117" s="8"/>
    </row>
    <row r="118">
      <c r="A118" s="5"/>
      <c r="D118" s="13"/>
      <c r="G118" s="28"/>
      <c r="H118" s="8"/>
    </row>
    <row r="119">
      <c r="A119" s="5"/>
      <c r="D119" s="13"/>
      <c r="G119" s="28"/>
      <c r="H119" s="8"/>
    </row>
    <row r="120">
      <c r="A120" s="5"/>
      <c r="D120" s="13"/>
      <c r="G120" s="28"/>
      <c r="H120" s="8"/>
    </row>
    <row r="121">
      <c r="A121" s="5"/>
      <c r="D121" s="13"/>
      <c r="G121" s="28"/>
      <c r="H121" s="8"/>
    </row>
    <row r="122">
      <c r="A122" s="5"/>
      <c r="D122" s="13"/>
      <c r="G122" s="28"/>
      <c r="H122" s="8"/>
    </row>
    <row r="123">
      <c r="A123" s="5"/>
      <c r="D123" s="13"/>
      <c r="G123" s="28"/>
      <c r="H123" s="8"/>
    </row>
    <row r="124">
      <c r="A124" s="5"/>
      <c r="D124" s="13"/>
      <c r="G124" s="28"/>
      <c r="H124" s="8"/>
    </row>
    <row r="125">
      <c r="A125" s="5"/>
      <c r="D125" s="13"/>
      <c r="G125" s="28"/>
      <c r="H125" s="8"/>
    </row>
    <row r="126">
      <c r="A126" s="5"/>
      <c r="D126" s="13"/>
      <c r="G126" s="28"/>
      <c r="H126" s="8"/>
    </row>
    <row r="127">
      <c r="A127" s="5"/>
      <c r="D127" s="13"/>
      <c r="G127" s="28"/>
      <c r="H127" s="8"/>
    </row>
    <row r="128">
      <c r="A128" s="5"/>
      <c r="D128" s="13"/>
      <c r="G128" s="28"/>
      <c r="H128" s="8"/>
    </row>
    <row r="129">
      <c r="A129" s="5"/>
      <c r="D129" s="13"/>
      <c r="G129" s="28"/>
      <c r="H129" s="8"/>
    </row>
    <row r="130">
      <c r="A130" s="5"/>
      <c r="D130" s="13"/>
      <c r="G130" s="28"/>
      <c r="H130" s="8"/>
    </row>
    <row r="131">
      <c r="A131" s="5"/>
      <c r="D131" s="14"/>
      <c r="G131" s="28"/>
      <c r="H131" s="8"/>
    </row>
    <row r="132">
      <c r="A132" s="5"/>
      <c r="D132" s="14"/>
      <c r="G132" s="28"/>
      <c r="H132" s="8"/>
    </row>
    <row r="133">
      <c r="A133" s="5"/>
      <c r="D133" s="14"/>
      <c r="G133" s="28"/>
      <c r="H133" s="8"/>
    </row>
    <row r="134">
      <c r="A134" s="5"/>
      <c r="D134" s="12"/>
      <c r="G134" s="28"/>
      <c r="H134" s="8"/>
    </row>
    <row r="135">
      <c r="A135" s="5"/>
      <c r="G135" s="28"/>
      <c r="H135" s="8"/>
    </row>
    <row r="136">
      <c r="A136" s="5"/>
      <c r="G136" s="28"/>
      <c r="H136" s="8"/>
    </row>
    <row r="137">
      <c r="A137" s="5"/>
      <c r="G137" s="28"/>
      <c r="H137" s="8"/>
    </row>
    <row r="138">
      <c r="A138" s="5"/>
      <c r="G138" s="28"/>
      <c r="H138" s="8"/>
    </row>
    <row r="139">
      <c r="A139" s="5"/>
      <c r="G139" s="28"/>
      <c r="H139" s="8"/>
    </row>
    <row r="140">
      <c r="A140" s="5"/>
      <c r="G140" s="28"/>
      <c r="H140" s="8"/>
    </row>
    <row r="141">
      <c r="A141" s="5"/>
      <c r="G141" s="28"/>
      <c r="H141" s="8"/>
    </row>
    <row r="142">
      <c r="A142" s="5"/>
      <c r="G142" s="28"/>
      <c r="H142" s="8"/>
    </row>
    <row r="143">
      <c r="A143" s="5"/>
      <c r="G143" s="28"/>
      <c r="H143" s="8"/>
    </row>
    <row r="144">
      <c r="A144" s="5"/>
      <c r="G144" s="28"/>
      <c r="H144" s="8"/>
    </row>
    <row r="145">
      <c r="A145" s="5"/>
      <c r="G145" s="28"/>
      <c r="H145" s="8"/>
    </row>
    <row r="146">
      <c r="A146" s="5"/>
      <c r="G146" s="28"/>
      <c r="H146" s="8"/>
    </row>
    <row r="147">
      <c r="A147" s="5"/>
      <c r="G147" s="28"/>
      <c r="H147" s="8"/>
    </row>
    <row r="148">
      <c r="A148" s="5"/>
      <c r="G148" s="28"/>
      <c r="H148" s="8"/>
    </row>
    <row r="149">
      <c r="A149" s="5"/>
      <c r="G149" s="28"/>
      <c r="H149" s="8"/>
    </row>
    <row r="150">
      <c r="A150" s="5"/>
      <c r="G150" s="28"/>
    </row>
    <row r="151">
      <c r="A151" s="5"/>
      <c r="G151" s="28"/>
    </row>
    <row r="152">
      <c r="A152" s="5"/>
      <c r="G152" s="28"/>
    </row>
    <row r="153">
      <c r="A153" s="5"/>
      <c r="G153" s="28"/>
      <c r="H153" s="8"/>
    </row>
    <row r="154">
      <c r="A154" s="5"/>
      <c r="G154" s="28"/>
      <c r="H154" s="8"/>
    </row>
    <row r="155">
      <c r="A155" s="5"/>
      <c r="G155" s="28"/>
      <c r="H155" s="8"/>
    </row>
    <row r="156">
      <c r="A156" s="5"/>
      <c r="G156" s="28"/>
      <c r="H156" s="8"/>
    </row>
    <row r="157">
      <c r="A157" s="5"/>
      <c r="G157" s="28"/>
      <c r="H157" s="8"/>
    </row>
    <row r="158">
      <c r="A158" s="5"/>
      <c r="G158" s="28"/>
      <c r="H158" s="8"/>
    </row>
    <row r="159">
      <c r="A159" s="5"/>
      <c r="G159" s="28"/>
      <c r="H159" s="8"/>
    </row>
    <row r="160">
      <c r="A160" s="5"/>
      <c r="G160" s="28"/>
      <c r="H160" s="8"/>
    </row>
    <row r="161">
      <c r="A161" s="5"/>
      <c r="G161" s="28"/>
      <c r="H161" s="8"/>
    </row>
    <row r="162">
      <c r="A162" s="5"/>
      <c r="G162" s="28"/>
      <c r="H162" s="8"/>
    </row>
    <row r="163">
      <c r="A163" s="5"/>
      <c r="G163" s="28"/>
      <c r="H163" s="8"/>
    </row>
    <row r="164">
      <c r="A164" s="5"/>
      <c r="G164" s="28"/>
      <c r="H164" s="8"/>
    </row>
    <row r="165">
      <c r="A165" s="5"/>
      <c r="G165" s="28"/>
      <c r="H165" s="8"/>
    </row>
    <row r="166">
      <c r="A166" s="5"/>
      <c r="G166" s="28"/>
      <c r="H166" s="8"/>
    </row>
    <row r="167">
      <c r="A167" s="5"/>
      <c r="G167" s="28"/>
      <c r="H167" s="8"/>
    </row>
    <row r="168">
      <c r="A168" s="5"/>
      <c r="G168" s="28"/>
      <c r="H168" s="8"/>
    </row>
    <row r="169">
      <c r="A169" s="5"/>
      <c r="G169" s="29"/>
    </row>
    <row r="170">
      <c r="A170" s="5"/>
      <c r="G170" s="30"/>
    </row>
    <row r="171">
      <c r="A171" s="5"/>
      <c r="G171" s="30"/>
    </row>
    <row r="172">
      <c r="A172" s="5"/>
      <c r="G172" s="30"/>
    </row>
    <row r="173">
      <c r="A173" s="5"/>
      <c r="G173" s="30"/>
    </row>
    <row r="174">
      <c r="A174" s="5"/>
      <c r="G174" s="30"/>
    </row>
    <row r="175">
      <c r="A175" s="5"/>
      <c r="G175" s="30"/>
    </row>
    <row r="176">
      <c r="A176" s="5"/>
      <c r="G176" s="30"/>
    </row>
    <row r="177">
      <c r="A177" s="5"/>
      <c r="G177" s="30"/>
    </row>
    <row r="178">
      <c r="A178" s="5"/>
      <c r="G178" s="30"/>
    </row>
    <row r="179">
      <c r="G179" s="30"/>
    </row>
    <row r="180">
      <c r="G180" s="30"/>
    </row>
    <row r="181">
      <c r="G181" s="30"/>
    </row>
    <row r="182">
      <c r="G182" s="30"/>
    </row>
    <row r="183">
      <c r="G183" s="30"/>
    </row>
    <row r="184">
      <c r="G184" s="30"/>
    </row>
    <row r="185">
      <c r="G185" s="30"/>
    </row>
    <row r="186">
      <c r="G186" s="30"/>
    </row>
    <row r="187">
      <c r="G187" s="30"/>
    </row>
    <row r="188">
      <c r="G188" s="30"/>
    </row>
    <row r="189">
      <c r="G189" s="30"/>
    </row>
    <row r="190">
      <c r="G190" s="30"/>
    </row>
    <row r="191">
      <c r="G191" s="30"/>
    </row>
    <row r="192">
      <c r="G192" s="30"/>
    </row>
    <row r="193">
      <c r="G193" s="30"/>
    </row>
    <row r="194">
      <c r="G194" s="30"/>
    </row>
    <row r="195">
      <c r="G195" s="30"/>
    </row>
    <row r="196">
      <c r="G196" s="30"/>
    </row>
    <row r="197">
      <c r="G197" s="30"/>
    </row>
    <row r="198">
      <c r="G198" s="30"/>
    </row>
    <row r="199">
      <c r="G199" s="30"/>
    </row>
    <row r="200">
      <c r="G200" s="30"/>
    </row>
    <row r="201">
      <c r="G201" s="30"/>
    </row>
    <row r="202">
      <c r="G202" s="30"/>
    </row>
    <row r="203">
      <c r="G203" s="30"/>
    </row>
    <row r="204">
      <c r="G204" s="30"/>
    </row>
    <row r="205">
      <c r="G205" s="30"/>
    </row>
    <row r="206">
      <c r="G206" s="30"/>
    </row>
    <row r="207">
      <c r="G207" s="30"/>
    </row>
    <row r="208">
      <c r="G208" s="30"/>
    </row>
    <row r="209">
      <c r="G209" s="30"/>
    </row>
    <row r="210">
      <c r="G210" s="30"/>
    </row>
    <row r="211">
      <c r="G211" s="30"/>
    </row>
    <row r="212">
      <c r="G212" s="30"/>
    </row>
    <row r="213">
      <c r="G213" s="30"/>
    </row>
    <row r="214">
      <c r="G214" s="30"/>
    </row>
    <row r="215">
      <c r="G215" s="30"/>
    </row>
    <row r="216">
      <c r="G216" s="30"/>
    </row>
    <row r="217">
      <c r="G217" s="30"/>
    </row>
    <row r="218">
      <c r="G218" s="30"/>
    </row>
    <row r="219">
      <c r="G219" s="30"/>
    </row>
    <row r="220">
      <c r="G220" s="30"/>
    </row>
    <row r="221">
      <c r="G221" s="30"/>
    </row>
    <row r="222">
      <c r="G222" s="30"/>
    </row>
    <row r="223">
      <c r="G223" s="30"/>
    </row>
    <row r="224">
      <c r="G224" s="30"/>
    </row>
    <row r="225">
      <c r="G225" s="30"/>
    </row>
    <row r="226">
      <c r="G226" s="30"/>
    </row>
    <row r="227">
      <c r="G227" s="30"/>
    </row>
    <row r="228">
      <c r="G228" s="30"/>
    </row>
    <row r="229">
      <c r="G229" s="30"/>
    </row>
    <row r="230">
      <c r="G230" s="30"/>
    </row>
    <row r="231">
      <c r="G231" s="30"/>
    </row>
    <row r="232">
      <c r="G232" s="30"/>
    </row>
    <row r="233">
      <c r="G233" s="30"/>
    </row>
    <row r="234">
      <c r="G234" s="30"/>
    </row>
    <row r="235">
      <c r="G235" s="30"/>
    </row>
    <row r="236">
      <c r="G236" s="30"/>
    </row>
    <row r="237">
      <c r="G237" s="30"/>
    </row>
    <row r="238">
      <c r="G238" s="30"/>
    </row>
    <row r="239">
      <c r="G239" s="30"/>
    </row>
    <row r="240">
      <c r="G240" s="30"/>
    </row>
    <row r="241">
      <c r="G241" s="30"/>
    </row>
    <row r="242">
      <c r="G242" s="30"/>
    </row>
    <row r="243">
      <c r="G243" s="30"/>
    </row>
    <row r="244">
      <c r="G244" s="30"/>
    </row>
    <row r="245">
      <c r="G245" s="30"/>
    </row>
    <row r="246">
      <c r="G246" s="30"/>
    </row>
    <row r="247">
      <c r="G247" s="30"/>
    </row>
    <row r="248">
      <c r="G248" s="30"/>
    </row>
    <row r="249">
      <c r="G249" s="30"/>
    </row>
    <row r="250">
      <c r="G250" s="30"/>
    </row>
    <row r="251">
      <c r="G251" s="30"/>
    </row>
    <row r="252">
      <c r="G252" s="30"/>
    </row>
    <row r="253">
      <c r="G253" s="30"/>
    </row>
    <row r="254">
      <c r="G254" s="30"/>
    </row>
    <row r="255">
      <c r="G255" s="30"/>
    </row>
    <row r="256">
      <c r="G256" s="30"/>
    </row>
    <row r="257">
      <c r="G257" s="30"/>
    </row>
    <row r="258">
      <c r="G258" s="30"/>
    </row>
    <row r="259">
      <c r="G259" s="30"/>
    </row>
    <row r="260">
      <c r="G260" s="30"/>
    </row>
    <row r="261">
      <c r="G261" s="30"/>
    </row>
    <row r="262">
      <c r="G262" s="30"/>
    </row>
    <row r="263">
      <c r="G263" s="30"/>
    </row>
    <row r="264">
      <c r="G264" s="30"/>
    </row>
    <row r="265">
      <c r="G265" s="30"/>
    </row>
    <row r="266">
      <c r="G266" s="30"/>
    </row>
    <row r="267">
      <c r="G267" s="30"/>
    </row>
    <row r="268">
      <c r="G268" s="30"/>
    </row>
    <row r="269">
      <c r="G269" s="30"/>
    </row>
    <row r="270">
      <c r="G270" s="30"/>
    </row>
    <row r="271">
      <c r="G271" s="30"/>
    </row>
    <row r="272">
      <c r="G272" s="30"/>
    </row>
    <row r="273">
      <c r="G273" s="30"/>
    </row>
    <row r="274">
      <c r="G274" s="30"/>
    </row>
    <row r="275">
      <c r="G275" s="30"/>
    </row>
    <row r="276">
      <c r="G276" s="30"/>
    </row>
    <row r="277">
      <c r="G277" s="30"/>
    </row>
    <row r="278">
      <c r="G278" s="30"/>
    </row>
    <row r="279">
      <c r="G279" s="30"/>
    </row>
    <row r="280">
      <c r="G280" s="30"/>
    </row>
    <row r="281">
      <c r="G281" s="30"/>
    </row>
    <row r="282">
      <c r="G282" s="30"/>
    </row>
    <row r="283">
      <c r="G283" s="30"/>
    </row>
    <row r="284">
      <c r="G284" s="30"/>
    </row>
    <row r="285">
      <c r="G285" s="30"/>
    </row>
    <row r="286">
      <c r="G286" s="30"/>
    </row>
    <row r="287">
      <c r="G287" s="30"/>
    </row>
    <row r="288">
      <c r="G288" s="30"/>
    </row>
    <row r="289">
      <c r="G289" s="30"/>
    </row>
    <row r="290">
      <c r="G290" s="30"/>
    </row>
    <row r="291">
      <c r="G291" s="30"/>
    </row>
    <row r="292">
      <c r="G292" s="30"/>
    </row>
    <row r="293">
      <c r="G293" s="30"/>
    </row>
    <row r="294">
      <c r="G294" s="30"/>
    </row>
    <row r="295">
      <c r="G295" s="30"/>
    </row>
    <row r="296">
      <c r="G296" s="30"/>
    </row>
    <row r="297">
      <c r="G297" s="30"/>
    </row>
    <row r="298">
      <c r="G298" s="30"/>
    </row>
    <row r="299">
      <c r="G299" s="30"/>
    </row>
    <row r="300">
      <c r="G300" s="30"/>
    </row>
    <row r="301">
      <c r="G301" s="30"/>
    </row>
    <row r="302">
      <c r="G302" s="30"/>
    </row>
    <row r="303">
      <c r="G303" s="30"/>
    </row>
    <row r="304">
      <c r="G304" s="30"/>
    </row>
    <row r="305">
      <c r="G305" s="30"/>
    </row>
    <row r="306">
      <c r="G306" s="30"/>
    </row>
    <row r="307">
      <c r="G307" s="30"/>
    </row>
    <row r="308">
      <c r="G308" s="30"/>
    </row>
    <row r="309">
      <c r="G309" s="30"/>
    </row>
    <row r="310">
      <c r="G310" s="30"/>
    </row>
    <row r="311">
      <c r="G311" s="30"/>
    </row>
    <row r="312">
      <c r="G312" s="30"/>
    </row>
    <row r="313">
      <c r="G313" s="30"/>
    </row>
    <row r="314">
      <c r="G314" s="30"/>
    </row>
    <row r="315">
      <c r="G315" s="30"/>
    </row>
    <row r="316">
      <c r="G316" s="30"/>
    </row>
    <row r="317">
      <c r="G317" s="30"/>
    </row>
    <row r="318">
      <c r="G318" s="30"/>
    </row>
    <row r="319">
      <c r="G319" s="30"/>
    </row>
    <row r="320">
      <c r="G320" s="30"/>
    </row>
    <row r="321">
      <c r="G321" s="30"/>
    </row>
    <row r="322">
      <c r="G322" s="30"/>
    </row>
    <row r="323">
      <c r="G323" s="30"/>
    </row>
    <row r="324">
      <c r="G324" s="30"/>
    </row>
    <row r="325">
      <c r="G325" s="30"/>
    </row>
    <row r="326">
      <c r="G326" s="30"/>
    </row>
    <row r="327">
      <c r="G327" s="30"/>
    </row>
    <row r="328">
      <c r="G328" s="30"/>
    </row>
    <row r="329">
      <c r="G329" s="30"/>
    </row>
    <row r="330">
      <c r="G330" s="30"/>
    </row>
    <row r="331">
      <c r="G331" s="30"/>
    </row>
    <row r="332">
      <c r="G332" s="30"/>
    </row>
    <row r="333">
      <c r="G333" s="30"/>
    </row>
    <row r="334">
      <c r="G334" s="30"/>
    </row>
    <row r="335">
      <c r="G335" s="30"/>
    </row>
    <row r="336">
      <c r="G336" s="30"/>
    </row>
    <row r="337">
      <c r="G337" s="30"/>
    </row>
    <row r="338">
      <c r="G338" s="30"/>
    </row>
    <row r="339">
      <c r="G339" s="30"/>
    </row>
    <row r="340">
      <c r="G340" s="30"/>
    </row>
    <row r="341">
      <c r="G341" s="30"/>
    </row>
    <row r="342">
      <c r="G342" s="30"/>
    </row>
    <row r="343">
      <c r="G343" s="30"/>
    </row>
    <row r="344">
      <c r="G344" s="30"/>
    </row>
    <row r="345">
      <c r="G345" s="30"/>
    </row>
    <row r="346">
      <c r="G346" s="30"/>
    </row>
    <row r="347">
      <c r="G347" s="30"/>
    </row>
    <row r="348">
      <c r="G348" s="30"/>
    </row>
    <row r="349">
      <c r="G349" s="30"/>
    </row>
    <row r="350">
      <c r="G350" s="30"/>
    </row>
    <row r="351">
      <c r="G351" s="30"/>
    </row>
    <row r="352">
      <c r="G352" s="30"/>
    </row>
    <row r="353">
      <c r="G353" s="30"/>
    </row>
    <row r="354">
      <c r="G354" s="30"/>
    </row>
    <row r="355">
      <c r="G355" s="30"/>
    </row>
    <row r="356">
      <c r="G356" s="30"/>
    </row>
    <row r="357">
      <c r="G357" s="30"/>
    </row>
    <row r="358">
      <c r="G358" s="30"/>
    </row>
    <row r="359">
      <c r="G359" s="30"/>
    </row>
    <row r="360">
      <c r="G360" s="30"/>
    </row>
    <row r="361">
      <c r="G361" s="30"/>
    </row>
    <row r="362">
      <c r="G362" s="30"/>
    </row>
    <row r="363">
      <c r="G363" s="30"/>
    </row>
    <row r="364">
      <c r="G364" s="30"/>
    </row>
    <row r="365">
      <c r="G365" s="30"/>
    </row>
    <row r="366">
      <c r="G366" s="30"/>
    </row>
    <row r="367">
      <c r="G367" s="30"/>
    </row>
    <row r="368">
      <c r="G368" s="30"/>
    </row>
    <row r="369">
      <c r="G369" s="30"/>
    </row>
    <row r="370">
      <c r="G370" s="30"/>
    </row>
    <row r="371">
      <c r="G371" s="30"/>
    </row>
    <row r="372">
      <c r="G372" s="30"/>
    </row>
    <row r="373">
      <c r="G373" s="30"/>
    </row>
    <row r="374">
      <c r="G374" s="30"/>
    </row>
    <row r="375">
      <c r="G375" s="30"/>
    </row>
    <row r="376">
      <c r="G376" s="30"/>
    </row>
    <row r="377">
      <c r="G377" s="30"/>
    </row>
    <row r="378">
      <c r="G378" s="30"/>
    </row>
    <row r="379">
      <c r="G379" s="30"/>
    </row>
    <row r="380">
      <c r="G380" s="30"/>
    </row>
    <row r="381">
      <c r="G381" s="30"/>
    </row>
    <row r="382">
      <c r="G382" s="30"/>
    </row>
    <row r="383">
      <c r="G383" s="30"/>
    </row>
    <row r="384">
      <c r="G384" s="30"/>
    </row>
    <row r="385">
      <c r="G385" s="30"/>
    </row>
    <row r="386">
      <c r="G386" s="30"/>
    </row>
    <row r="387">
      <c r="G387" s="30"/>
    </row>
    <row r="388">
      <c r="G388" s="30"/>
    </row>
    <row r="389">
      <c r="G389" s="30"/>
    </row>
    <row r="390">
      <c r="G390" s="30"/>
    </row>
    <row r="391">
      <c r="G391" s="30"/>
    </row>
    <row r="392">
      <c r="G392" s="30"/>
    </row>
    <row r="393">
      <c r="G393" s="30"/>
    </row>
    <row r="394">
      <c r="G394" s="30"/>
    </row>
    <row r="395">
      <c r="G395" s="30"/>
    </row>
    <row r="396">
      <c r="G396" s="30"/>
    </row>
    <row r="397">
      <c r="G397" s="30"/>
    </row>
    <row r="398">
      <c r="G398" s="30"/>
    </row>
    <row r="399">
      <c r="G399" s="30"/>
    </row>
    <row r="400">
      <c r="G400" s="30"/>
    </row>
    <row r="401">
      <c r="G401" s="30"/>
    </row>
    <row r="402">
      <c r="G402" s="30"/>
    </row>
    <row r="403">
      <c r="G403" s="30"/>
    </row>
    <row r="404">
      <c r="G404" s="30"/>
    </row>
    <row r="405">
      <c r="G405" s="30"/>
    </row>
    <row r="406">
      <c r="G406" s="30"/>
    </row>
    <row r="407">
      <c r="G407" s="30"/>
    </row>
    <row r="408">
      <c r="G408" s="30"/>
    </row>
    <row r="409">
      <c r="G409" s="30"/>
    </row>
    <row r="410">
      <c r="G410" s="30"/>
    </row>
    <row r="411">
      <c r="G411" s="30"/>
    </row>
    <row r="412">
      <c r="G412" s="30"/>
    </row>
    <row r="413">
      <c r="G413" s="30"/>
    </row>
    <row r="414">
      <c r="G414" s="30"/>
    </row>
    <row r="415">
      <c r="G415" s="30"/>
    </row>
    <row r="416">
      <c r="G416" s="30"/>
    </row>
    <row r="417">
      <c r="G417" s="30"/>
    </row>
    <row r="418">
      <c r="G418" s="30"/>
    </row>
    <row r="419">
      <c r="G419" s="30"/>
    </row>
    <row r="420">
      <c r="G420" s="30"/>
    </row>
    <row r="421">
      <c r="G421" s="30"/>
    </row>
    <row r="422">
      <c r="G422" s="30"/>
    </row>
    <row r="423">
      <c r="G423" s="30"/>
    </row>
    <row r="424">
      <c r="G424" s="30"/>
    </row>
    <row r="425">
      <c r="G425" s="30"/>
    </row>
    <row r="426">
      <c r="G426" s="30"/>
    </row>
    <row r="427">
      <c r="G427" s="30"/>
    </row>
    <row r="428">
      <c r="G428" s="30"/>
    </row>
    <row r="429">
      <c r="G429" s="30"/>
    </row>
    <row r="430">
      <c r="G430" s="30"/>
    </row>
    <row r="431">
      <c r="G431" s="30"/>
    </row>
    <row r="432">
      <c r="G432" s="30"/>
    </row>
    <row r="433">
      <c r="G433" s="30"/>
    </row>
    <row r="434">
      <c r="G434" s="30"/>
    </row>
    <row r="435">
      <c r="G435" s="30"/>
    </row>
    <row r="436">
      <c r="G436" s="30"/>
    </row>
    <row r="437">
      <c r="G437" s="30"/>
    </row>
    <row r="438">
      <c r="G438" s="30"/>
    </row>
    <row r="439">
      <c r="G439" s="30"/>
    </row>
    <row r="440">
      <c r="G440" s="30"/>
    </row>
    <row r="441">
      <c r="G441" s="30"/>
    </row>
    <row r="442">
      <c r="G442" s="30"/>
    </row>
    <row r="443">
      <c r="G443" s="30"/>
    </row>
    <row r="444">
      <c r="G444" s="30"/>
    </row>
    <row r="445">
      <c r="G445" s="30"/>
    </row>
    <row r="446">
      <c r="G446" s="30"/>
    </row>
    <row r="447">
      <c r="G447" s="30"/>
    </row>
    <row r="448">
      <c r="G448" s="30"/>
    </row>
    <row r="449">
      <c r="G449" s="30"/>
    </row>
    <row r="450">
      <c r="G450" s="30"/>
    </row>
    <row r="451">
      <c r="G451" s="30"/>
    </row>
    <row r="452">
      <c r="G452" s="30"/>
    </row>
    <row r="453">
      <c r="G453" s="30"/>
    </row>
    <row r="454">
      <c r="G454" s="30"/>
    </row>
    <row r="455">
      <c r="G455" s="30"/>
    </row>
    <row r="456">
      <c r="G456" s="30"/>
    </row>
    <row r="457">
      <c r="G457" s="30"/>
    </row>
    <row r="458">
      <c r="G458" s="30"/>
    </row>
    <row r="459">
      <c r="G459" s="30"/>
    </row>
    <row r="460">
      <c r="G460" s="30"/>
    </row>
    <row r="461">
      <c r="G461" s="30"/>
    </row>
    <row r="462">
      <c r="G462" s="30"/>
    </row>
    <row r="463">
      <c r="G463" s="30"/>
    </row>
    <row r="464">
      <c r="G464" s="30"/>
    </row>
    <row r="465">
      <c r="G465" s="30"/>
    </row>
    <row r="466">
      <c r="G466" s="30"/>
    </row>
    <row r="467">
      <c r="G467" s="30"/>
    </row>
    <row r="468">
      <c r="G468" s="30"/>
    </row>
    <row r="469">
      <c r="G469" s="30"/>
    </row>
    <row r="470">
      <c r="G470" s="30"/>
    </row>
    <row r="471">
      <c r="G471" s="30"/>
    </row>
    <row r="472">
      <c r="G472" s="30"/>
    </row>
    <row r="473">
      <c r="G473" s="30"/>
    </row>
    <row r="474">
      <c r="G474" s="30"/>
    </row>
    <row r="475">
      <c r="G475" s="30"/>
    </row>
    <row r="476">
      <c r="G476" s="30"/>
    </row>
    <row r="477">
      <c r="G477" s="30"/>
    </row>
    <row r="478">
      <c r="G478" s="30"/>
    </row>
    <row r="479">
      <c r="G479" s="30"/>
    </row>
    <row r="480">
      <c r="G480" s="30"/>
    </row>
    <row r="481">
      <c r="G481" s="30"/>
    </row>
    <row r="482">
      <c r="G482" s="30"/>
    </row>
    <row r="483">
      <c r="G483" s="30"/>
    </row>
    <row r="484">
      <c r="G484" s="30"/>
    </row>
    <row r="485">
      <c r="G485" s="30"/>
    </row>
    <row r="486">
      <c r="G486" s="30"/>
    </row>
    <row r="487">
      <c r="G487" s="30"/>
    </row>
    <row r="488">
      <c r="G488" s="30"/>
    </row>
    <row r="489">
      <c r="G489" s="30"/>
    </row>
    <row r="490">
      <c r="G490" s="30"/>
    </row>
    <row r="491">
      <c r="G491" s="30"/>
    </row>
    <row r="492">
      <c r="G492" s="30"/>
    </row>
    <row r="493">
      <c r="G493" s="30"/>
    </row>
    <row r="494">
      <c r="G494" s="30"/>
    </row>
    <row r="495">
      <c r="G495" s="30"/>
    </row>
    <row r="496">
      <c r="G496" s="30"/>
    </row>
    <row r="497">
      <c r="G497" s="30"/>
    </row>
    <row r="498">
      <c r="G498" s="30"/>
    </row>
    <row r="499">
      <c r="G499" s="30"/>
    </row>
    <row r="500">
      <c r="G500" s="30"/>
    </row>
    <row r="501">
      <c r="G501" s="30"/>
    </row>
    <row r="502">
      <c r="G502" s="30"/>
    </row>
    <row r="503">
      <c r="G503" s="30"/>
    </row>
    <row r="504">
      <c r="G504" s="30"/>
    </row>
    <row r="505">
      <c r="G505" s="30"/>
    </row>
    <row r="506">
      <c r="G506" s="30"/>
    </row>
    <row r="507">
      <c r="G507" s="30"/>
    </row>
    <row r="508">
      <c r="G508" s="30"/>
    </row>
    <row r="509">
      <c r="G509" s="30"/>
    </row>
    <row r="510">
      <c r="G510" s="30"/>
    </row>
    <row r="511">
      <c r="G511" s="30"/>
    </row>
    <row r="512">
      <c r="G512" s="30"/>
    </row>
    <row r="513">
      <c r="G513" s="30"/>
    </row>
    <row r="514">
      <c r="G514" s="30"/>
    </row>
    <row r="515">
      <c r="G515" s="30"/>
    </row>
    <row r="516">
      <c r="G516" s="30"/>
    </row>
    <row r="517">
      <c r="G517" s="30"/>
    </row>
    <row r="518">
      <c r="G518" s="30"/>
    </row>
    <row r="519">
      <c r="G519" s="30"/>
    </row>
    <row r="520">
      <c r="G520" s="30"/>
    </row>
    <row r="521">
      <c r="G521" s="30"/>
    </row>
    <row r="522">
      <c r="G522" s="30"/>
    </row>
    <row r="523">
      <c r="G523" s="30"/>
    </row>
    <row r="524">
      <c r="G524" s="30"/>
    </row>
    <row r="525">
      <c r="G525" s="30"/>
    </row>
    <row r="526">
      <c r="G526" s="30"/>
    </row>
    <row r="527">
      <c r="G527" s="30"/>
    </row>
    <row r="528">
      <c r="G528" s="30"/>
    </row>
    <row r="529">
      <c r="G529" s="30"/>
    </row>
    <row r="530">
      <c r="G530" s="30"/>
    </row>
    <row r="531">
      <c r="G531" s="30"/>
    </row>
    <row r="532">
      <c r="G532" s="30"/>
    </row>
    <row r="533">
      <c r="G533" s="30"/>
    </row>
    <row r="534">
      <c r="G534" s="30"/>
    </row>
    <row r="535">
      <c r="G535" s="30"/>
    </row>
    <row r="536">
      <c r="G536" s="30"/>
    </row>
    <row r="537">
      <c r="G537" s="30"/>
    </row>
    <row r="538">
      <c r="G538" s="30"/>
    </row>
    <row r="539">
      <c r="G539" s="30"/>
    </row>
    <row r="540">
      <c r="G540" s="30"/>
    </row>
    <row r="541">
      <c r="G541" s="30"/>
    </row>
    <row r="542">
      <c r="G542" s="30"/>
    </row>
    <row r="543">
      <c r="G543" s="30"/>
    </row>
    <row r="544">
      <c r="G544" s="30"/>
    </row>
    <row r="545">
      <c r="G545" s="30"/>
    </row>
    <row r="546">
      <c r="G546" s="30"/>
    </row>
    <row r="547">
      <c r="G547" s="30"/>
    </row>
    <row r="548">
      <c r="G548" s="30"/>
    </row>
    <row r="549">
      <c r="G549" s="30"/>
    </row>
    <row r="550">
      <c r="G550" s="30"/>
    </row>
    <row r="551">
      <c r="G551" s="30"/>
    </row>
    <row r="552">
      <c r="G552" s="30"/>
    </row>
    <row r="553">
      <c r="G553" s="30"/>
    </row>
    <row r="554">
      <c r="G554" s="30"/>
    </row>
    <row r="555">
      <c r="G555" s="30"/>
    </row>
    <row r="556">
      <c r="G556" s="30"/>
    </row>
    <row r="557">
      <c r="G557" s="30"/>
    </row>
    <row r="558">
      <c r="G558" s="30"/>
    </row>
    <row r="559">
      <c r="G559" s="30"/>
    </row>
    <row r="560">
      <c r="G560" s="30"/>
    </row>
    <row r="561">
      <c r="G561" s="30"/>
    </row>
    <row r="562">
      <c r="G562" s="30"/>
    </row>
    <row r="563">
      <c r="G563" s="30"/>
    </row>
    <row r="564">
      <c r="G564" s="30"/>
    </row>
    <row r="565">
      <c r="G565" s="30"/>
    </row>
    <row r="566">
      <c r="G566" s="30"/>
    </row>
    <row r="567">
      <c r="G567" s="30"/>
    </row>
    <row r="568">
      <c r="G568" s="30"/>
    </row>
    <row r="569">
      <c r="G569" s="30"/>
    </row>
    <row r="570">
      <c r="G570" s="30"/>
    </row>
    <row r="571">
      <c r="G571" s="30"/>
    </row>
    <row r="572">
      <c r="G572" s="30"/>
    </row>
    <row r="573">
      <c r="G573" s="30"/>
    </row>
    <row r="574">
      <c r="G574" s="30"/>
    </row>
    <row r="575">
      <c r="G575" s="30"/>
    </row>
    <row r="576">
      <c r="G576" s="30"/>
    </row>
    <row r="577">
      <c r="G577" s="30"/>
    </row>
    <row r="578">
      <c r="G578" s="30"/>
    </row>
    <row r="579">
      <c r="G579" s="30"/>
    </row>
    <row r="580">
      <c r="G580" s="30"/>
    </row>
    <row r="581">
      <c r="G581" s="30"/>
    </row>
    <row r="582">
      <c r="G582" s="30"/>
    </row>
    <row r="583">
      <c r="G583" s="30"/>
    </row>
    <row r="584">
      <c r="G584" s="30"/>
    </row>
    <row r="585">
      <c r="G585" s="30"/>
    </row>
    <row r="586">
      <c r="G586" s="30"/>
    </row>
    <row r="587">
      <c r="G587" s="30"/>
    </row>
    <row r="588">
      <c r="G588" s="30"/>
    </row>
    <row r="589">
      <c r="G589" s="30"/>
    </row>
    <row r="590">
      <c r="G590" s="30"/>
    </row>
    <row r="591">
      <c r="G591" s="30"/>
    </row>
    <row r="592">
      <c r="G592" s="30"/>
    </row>
    <row r="593">
      <c r="G593" s="30"/>
    </row>
    <row r="594">
      <c r="G594" s="30"/>
    </row>
    <row r="595">
      <c r="G595" s="30"/>
    </row>
    <row r="596">
      <c r="G596" s="30"/>
    </row>
    <row r="597">
      <c r="G597" s="30"/>
    </row>
    <row r="598">
      <c r="G598" s="30"/>
    </row>
    <row r="599">
      <c r="G599" s="30"/>
    </row>
    <row r="600">
      <c r="G600" s="30"/>
    </row>
    <row r="601">
      <c r="G601" s="30"/>
    </row>
    <row r="602">
      <c r="G602" s="30"/>
    </row>
    <row r="603">
      <c r="G603" s="30"/>
    </row>
    <row r="604">
      <c r="G604" s="30"/>
    </row>
    <row r="605">
      <c r="G605" s="30"/>
    </row>
    <row r="606">
      <c r="G606" s="30"/>
    </row>
    <row r="607">
      <c r="G607" s="30"/>
    </row>
    <row r="608">
      <c r="G608" s="30"/>
    </row>
    <row r="609">
      <c r="G609" s="30"/>
    </row>
    <row r="610">
      <c r="G610" s="30"/>
    </row>
    <row r="611">
      <c r="G611" s="30"/>
    </row>
    <row r="612">
      <c r="G612" s="30"/>
    </row>
    <row r="613">
      <c r="G613" s="30"/>
    </row>
    <row r="614">
      <c r="G614" s="30"/>
    </row>
    <row r="615">
      <c r="G615" s="30"/>
    </row>
    <row r="616">
      <c r="G616" s="30"/>
    </row>
    <row r="617">
      <c r="G617" s="30"/>
    </row>
    <row r="618">
      <c r="G618" s="30"/>
    </row>
    <row r="619">
      <c r="G619" s="30"/>
    </row>
    <row r="620">
      <c r="G620" s="30"/>
    </row>
    <row r="621">
      <c r="G621" s="30"/>
    </row>
    <row r="622">
      <c r="G622" s="30"/>
    </row>
    <row r="623">
      <c r="G623" s="30"/>
    </row>
    <row r="624">
      <c r="G624" s="30"/>
    </row>
    <row r="625">
      <c r="G625" s="30"/>
    </row>
    <row r="626">
      <c r="G626" s="30"/>
    </row>
    <row r="627">
      <c r="G627" s="30"/>
    </row>
    <row r="628">
      <c r="G628" s="30"/>
    </row>
    <row r="629">
      <c r="G629" s="30"/>
    </row>
    <row r="630">
      <c r="G630" s="30"/>
    </row>
    <row r="631">
      <c r="G631" s="30"/>
    </row>
    <row r="632">
      <c r="G632" s="30"/>
    </row>
    <row r="633">
      <c r="G633" s="30"/>
    </row>
    <row r="634">
      <c r="G634" s="30"/>
    </row>
    <row r="635">
      <c r="G635" s="30"/>
    </row>
    <row r="636">
      <c r="G636" s="30"/>
    </row>
    <row r="637">
      <c r="G637" s="30"/>
    </row>
    <row r="638">
      <c r="G638" s="30"/>
    </row>
    <row r="639">
      <c r="G639" s="30"/>
    </row>
    <row r="640">
      <c r="G640" s="30"/>
    </row>
    <row r="641">
      <c r="G641" s="30"/>
    </row>
    <row r="642">
      <c r="G642" s="30"/>
    </row>
    <row r="643">
      <c r="G643" s="30"/>
    </row>
    <row r="644">
      <c r="G644" s="30"/>
    </row>
    <row r="645">
      <c r="G645" s="30"/>
    </row>
    <row r="646">
      <c r="G646" s="30"/>
    </row>
    <row r="647">
      <c r="G647" s="30"/>
    </row>
    <row r="648">
      <c r="G648" s="30"/>
    </row>
    <row r="649">
      <c r="G649" s="30"/>
    </row>
    <row r="650">
      <c r="G650" s="30"/>
    </row>
    <row r="651">
      <c r="G651" s="30"/>
    </row>
    <row r="652">
      <c r="G652" s="30"/>
    </row>
    <row r="653">
      <c r="G653" s="30"/>
    </row>
    <row r="654">
      <c r="G654" s="30"/>
    </row>
    <row r="655">
      <c r="G655" s="30"/>
    </row>
    <row r="656">
      <c r="G656" s="30"/>
    </row>
    <row r="657">
      <c r="G657" s="30"/>
    </row>
    <row r="658">
      <c r="G658" s="30"/>
    </row>
    <row r="659">
      <c r="G659" s="30"/>
    </row>
    <row r="660">
      <c r="G660" s="30"/>
    </row>
    <row r="661">
      <c r="G661" s="30"/>
    </row>
    <row r="662">
      <c r="G662" s="30"/>
    </row>
    <row r="663">
      <c r="G663" s="30"/>
    </row>
    <row r="664">
      <c r="G664" s="30"/>
    </row>
    <row r="665">
      <c r="G665" s="30"/>
    </row>
    <row r="666">
      <c r="G666" s="30"/>
    </row>
    <row r="667">
      <c r="G667" s="30"/>
    </row>
    <row r="668">
      <c r="G668" s="30"/>
    </row>
    <row r="669">
      <c r="G669" s="30"/>
    </row>
    <row r="670">
      <c r="G670" s="30"/>
    </row>
    <row r="671">
      <c r="G671" s="30"/>
    </row>
    <row r="672">
      <c r="G672" s="30"/>
    </row>
    <row r="673">
      <c r="G673" s="30"/>
    </row>
    <row r="674">
      <c r="G674" s="30"/>
    </row>
    <row r="675">
      <c r="G675" s="30"/>
    </row>
    <row r="676">
      <c r="G676" s="30"/>
    </row>
    <row r="677">
      <c r="G677" s="30"/>
    </row>
    <row r="678">
      <c r="G678" s="30"/>
    </row>
    <row r="679">
      <c r="G679" s="30"/>
    </row>
    <row r="680">
      <c r="G680" s="30"/>
    </row>
    <row r="681">
      <c r="G681" s="30"/>
    </row>
    <row r="682">
      <c r="G682" s="30"/>
    </row>
    <row r="683">
      <c r="G683" s="30"/>
    </row>
    <row r="684">
      <c r="G684" s="30"/>
    </row>
    <row r="685">
      <c r="G685" s="30"/>
    </row>
    <row r="686">
      <c r="G686" s="30"/>
    </row>
    <row r="687">
      <c r="G687" s="30"/>
    </row>
    <row r="688">
      <c r="G688" s="30"/>
    </row>
    <row r="689">
      <c r="G689" s="30"/>
    </row>
    <row r="690">
      <c r="G690" s="30"/>
    </row>
    <row r="691">
      <c r="G691" s="30"/>
    </row>
    <row r="692">
      <c r="G692" s="30"/>
    </row>
    <row r="693">
      <c r="G693" s="30"/>
    </row>
    <row r="694">
      <c r="G694" s="30"/>
    </row>
    <row r="695">
      <c r="G695" s="30"/>
    </row>
    <row r="696">
      <c r="G696" s="30"/>
    </row>
    <row r="697">
      <c r="G697" s="30"/>
    </row>
    <row r="698">
      <c r="G698" s="30"/>
    </row>
    <row r="699">
      <c r="G699" s="30"/>
    </row>
    <row r="700">
      <c r="G700" s="30"/>
    </row>
    <row r="701">
      <c r="G701" s="30"/>
    </row>
    <row r="702">
      <c r="G702" s="30"/>
    </row>
    <row r="703">
      <c r="G703" s="30"/>
    </row>
    <row r="704">
      <c r="G704" s="30"/>
    </row>
    <row r="705">
      <c r="G705" s="30"/>
    </row>
    <row r="706">
      <c r="G706" s="30"/>
    </row>
    <row r="707">
      <c r="G707" s="30"/>
    </row>
    <row r="708">
      <c r="G708" s="30"/>
    </row>
    <row r="709">
      <c r="G709" s="30"/>
    </row>
    <row r="710">
      <c r="G710" s="30"/>
    </row>
    <row r="711">
      <c r="G711" s="30"/>
    </row>
    <row r="712">
      <c r="G712" s="30"/>
    </row>
    <row r="713">
      <c r="G713" s="30"/>
    </row>
    <row r="714">
      <c r="G714" s="30"/>
    </row>
    <row r="715">
      <c r="G715" s="30"/>
    </row>
    <row r="716">
      <c r="G716" s="30"/>
    </row>
    <row r="717">
      <c r="G717" s="30"/>
    </row>
    <row r="718">
      <c r="G718" s="30"/>
    </row>
    <row r="719">
      <c r="G719" s="30"/>
    </row>
    <row r="720">
      <c r="G720" s="30"/>
    </row>
    <row r="721">
      <c r="G721" s="30"/>
    </row>
    <row r="722">
      <c r="G722" s="30"/>
    </row>
    <row r="723">
      <c r="G723" s="30"/>
    </row>
    <row r="724">
      <c r="G724" s="30"/>
    </row>
    <row r="725">
      <c r="G725" s="30"/>
    </row>
    <row r="726">
      <c r="G726" s="30"/>
    </row>
    <row r="727">
      <c r="G727" s="30"/>
    </row>
    <row r="728">
      <c r="G728" s="30"/>
    </row>
    <row r="729">
      <c r="G729" s="30"/>
    </row>
    <row r="730">
      <c r="G730" s="30"/>
    </row>
    <row r="731">
      <c r="G731" s="30"/>
    </row>
    <row r="732">
      <c r="G732" s="30"/>
    </row>
    <row r="733">
      <c r="G733" s="30"/>
    </row>
    <row r="734">
      <c r="G734" s="30"/>
    </row>
    <row r="735">
      <c r="G735" s="30"/>
    </row>
    <row r="736">
      <c r="G736" s="30"/>
    </row>
    <row r="737">
      <c r="G737" s="30"/>
    </row>
    <row r="738">
      <c r="G738" s="30"/>
    </row>
    <row r="739">
      <c r="G739" s="30"/>
    </row>
    <row r="740">
      <c r="G740" s="30"/>
    </row>
    <row r="741">
      <c r="G741" s="30"/>
    </row>
    <row r="742">
      <c r="G742" s="30"/>
    </row>
    <row r="743">
      <c r="G743" s="30"/>
    </row>
    <row r="744">
      <c r="G744" s="30"/>
    </row>
    <row r="745">
      <c r="G745" s="30"/>
    </row>
    <row r="746">
      <c r="G746" s="30"/>
    </row>
    <row r="747">
      <c r="G747" s="30"/>
    </row>
    <row r="748">
      <c r="G748" s="30"/>
    </row>
    <row r="749">
      <c r="G749" s="30"/>
    </row>
    <row r="750">
      <c r="G750" s="30"/>
    </row>
    <row r="751">
      <c r="G751" s="30"/>
    </row>
    <row r="752">
      <c r="G752" s="30"/>
    </row>
    <row r="753">
      <c r="G753" s="30"/>
    </row>
    <row r="754">
      <c r="G754" s="30"/>
    </row>
    <row r="755">
      <c r="G755" s="30"/>
    </row>
    <row r="756">
      <c r="G756" s="30"/>
    </row>
    <row r="757">
      <c r="G757" s="30"/>
    </row>
    <row r="758">
      <c r="G758" s="30"/>
    </row>
    <row r="759">
      <c r="G759" s="30"/>
    </row>
    <row r="760">
      <c r="G760" s="30"/>
    </row>
    <row r="761">
      <c r="G761" s="30"/>
    </row>
    <row r="762">
      <c r="G762" s="30"/>
    </row>
    <row r="763">
      <c r="G763" s="30"/>
    </row>
    <row r="764">
      <c r="G764" s="30"/>
    </row>
    <row r="765">
      <c r="G765" s="30"/>
    </row>
    <row r="766">
      <c r="G766" s="30"/>
    </row>
    <row r="767">
      <c r="G767" s="30"/>
    </row>
    <row r="768">
      <c r="G768" s="30"/>
    </row>
    <row r="769">
      <c r="G769" s="30"/>
    </row>
    <row r="770">
      <c r="G770" s="30"/>
    </row>
    <row r="771">
      <c r="G771" s="30"/>
    </row>
    <row r="772">
      <c r="G772" s="30"/>
    </row>
    <row r="773">
      <c r="G773" s="30"/>
    </row>
    <row r="774">
      <c r="G774" s="30"/>
    </row>
    <row r="775">
      <c r="G775" s="30"/>
    </row>
    <row r="776">
      <c r="G776" s="30"/>
    </row>
    <row r="777">
      <c r="G777" s="30"/>
    </row>
    <row r="778">
      <c r="G778" s="30"/>
    </row>
    <row r="779">
      <c r="G779" s="30"/>
    </row>
    <row r="780">
      <c r="G780" s="30"/>
    </row>
    <row r="781">
      <c r="G781" s="30"/>
    </row>
    <row r="782">
      <c r="G782" s="30"/>
    </row>
    <row r="783">
      <c r="G783" s="30"/>
    </row>
    <row r="784">
      <c r="G784" s="30"/>
    </row>
    <row r="785">
      <c r="G785" s="30"/>
    </row>
    <row r="786">
      <c r="G786" s="30"/>
    </row>
    <row r="787">
      <c r="G787" s="30"/>
    </row>
    <row r="788">
      <c r="G788" s="30"/>
    </row>
    <row r="789">
      <c r="G789" s="30"/>
    </row>
    <row r="790">
      <c r="G790" s="30"/>
    </row>
    <row r="791">
      <c r="G791" s="30"/>
    </row>
    <row r="792">
      <c r="G792" s="30"/>
    </row>
    <row r="793">
      <c r="G793" s="30"/>
    </row>
    <row r="794">
      <c r="G794" s="30"/>
    </row>
    <row r="795">
      <c r="G795" s="30"/>
    </row>
    <row r="796">
      <c r="G796" s="30"/>
    </row>
    <row r="797">
      <c r="G797" s="30"/>
    </row>
    <row r="798">
      <c r="G798" s="30"/>
    </row>
    <row r="799">
      <c r="G799" s="30"/>
    </row>
    <row r="800">
      <c r="G800" s="30"/>
    </row>
    <row r="801">
      <c r="G801" s="30"/>
    </row>
    <row r="802">
      <c r="G802" s="30"/>
    </row>
    <row r="803">
      <c r="G803" s="30"/>
    </row>
    <row r="804">
      <c r="G804" s="30"/>
    </row>
    <row r="805">
      <c r="G805" s="30"/>
    </row>
    <row r="806">
      <c r="G806" s="30"/>
    </row>
    <row r="807">
      <c r="G807" s="30"/>
    </row>
    <row r="808">
      <c r="G808" s="30"/>
    </row>
    <row r="809">
      <c r="G809" s="30"/>
    </row>
    <row r="810">
      <c r="G810" s="30"/>
    </row>
    <row r="811">
      <c r="G811" s="30"/>
    </row>
    <row r="812">
      <c r="G812" s="30"/>
    </row>
    <row r="813">
      <c r="G813" s="30"/>
    </row>
    <row r="814">
      <c r="G814" s="30"/>
    </row>
    <row r="815">
      <c r="G815" s="30"/>
    </row>
    <row r="816">
      <c r="G816" s="30"/>
    </row>
    <row r="817">
      <c r="G817" s="30"/>
    </row>
    <row r="818">
      <c r="G818" s="30"/>
    </row>
    <row r="819">
      <c r="G819" s="30"/>
    </row>
    <row r="820">
      <c r="G820" s="30"/>
    </row>
    <row r="821">
      <c r="G821" s="30"/>
    </row>
    <row r="822">
      <c r="G822" s="30"/>
    </row>
    <row r="823">
      <c r="G823" s="30"/>
    </row>
    <row r="824">
      <c r="G824" s="30"/>
    </row>
    <row r="825">
      <c r="G825" s="30"/>
    </row>
    <row r="826">
      <c r="G826" s="30"/>
    </row>
    <row r="827">
      <c r="G827" s="30"/>
    </row>
    <row r="828">
      <c r="G828" s="30"/>
    </row>
    <row r="829">
      <c r="G829" s="30"/>
    </row>
    <row r="830">
      <c r="G830" s="30"/>
    </row>
    <row r="831">
      <c r="G831" s="30"/>
    </row>
    <row r="832">
      <c r="G832" s="30"/>
    </row>
    <row r="833">
      <c r="G833" s="30"/>
    </row>
    <row r="834">
      <c r="G834" s="30"/>
    </row>
    <row r="835">
      <c r="G835" s="30"/>
    </row>
    <row r="836">
      <c r="G836" s="30"/>
    </row>
    <row r="837">
      <c r="G837" s="30"/>
    </row>
    <row r="838">
      <c r="G838" s="30"/>
    </row>
    <row r="839">
      <c r="G839" s="30"/>
    </row>
    <row r="840">
      <c r="G840" s="30"/>
    </row>
    <row r="841">
      <c r="G841" s="30"/>
    </row>
    <row r="842">
      <c r="G842" s="30"/>
    </row>
    <row r="843">
      <c r="G843" s="30"/>
    </row>
    <row r="844">
      <c r="G844" s="30"/>
    </row>
    <row r="845">
      <c r="G845" s="30"/>
    </row>
  </sheetData>
  <drawing r:id="rId1"/>
</worksheet>
</file>