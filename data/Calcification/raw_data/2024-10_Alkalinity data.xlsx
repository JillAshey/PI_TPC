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DARK" sheetId="1" r:id="rId4"/>
    <sheet state="visible" name="DARK ONLY" sheetId="2" r:id="rId5"/>
  </sheets>
  <definedNames/>
  <calcPr/>
</workbook>
</file>

<file path=xl/sharedStrings.xml><?xml version="1.0" encoding="utf-8"?>
<sst xmlns="http://schemas.openxmlformats.org/spreadsheetml/2006/main" count="499" uniqueCount="28">
  <si>
    <t>Date</t>
  </si>
  <si>
    <t>Round</t>
  </si>
  <si>
    <t>Titrator</t>
  </si>
  <si>
    <t>Zub #</t>
  </si>
  <si>
    <t>Sample Volume (mL)</t>
  </si>
  <si>
    <t>Replicate</t>
  </si>
  <si>
    <t>Mass</t>
  </si>
  <si>
    <t>Temperature</t>
  </si>
  <si>
    <t>Alk (Setting should be Alk3)</t>
  </si>
  <si>
    <t>Best 2 avergae</t>
  </si>
  <si>
    <t>Notes</t>
  </si>
  <si>
    <t>B</t>
  </si>
  <si>
    <t>SW</t>
  </si>
  <si>
    <t>ALK</t>
  </si>
  <si>
    <t>A</t>
  </si>
  <si>
    <t>ALK3</t>
  </si>
  <si>
    <t>Used setting "Alk" for samples 1-4</t>
  </si>
  <si>
    <t xml:space="preserve">Alk3 settings </t>
  </si>
  <si>
    <t xml:space="preserve">entered wrong weight </t>
  </si>
  <si>
    <t xml:space="preserve">CRM - BATCH 206 </t>
  </si>
  <si>
    <t xml:space="preserve">The website to check the CRM is down, will check later </t>
  </si>
  <si>
    <t>CRM</t>
  </si>
  <si>
    <t>ERROR</t>
  </si>
  <si>
    <t>NA</t>
  </si>
  <si>
    <t>Best 2 average</t>
  </si>
  <si>
    <t xml:space="preserve">Kind of low? sw taken from back tank spout on left corner </t>
  </si>
  <si>
    <t>SW - spout 2</t>
  </si>
  <si>
    <t>different SW spout - coming directly from Bay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</si>
</sst>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yyyy-mm-dd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b/>
      <color theme="1"/>
      <name val="Arial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164" xfId="0" applyAlignment="1" applyFill="1" applyFont="1" applyNumberFormat="1">
      <alignment horizontal="left"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Font="1" applyNumberFormat="1"/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0" fillId="0" fontId="6" numFmtId="0" xfId="0" applyFont="1"/>
    <xf borderId="0" fillId="0" fontId="2" numFmtId="164" xfId="0" applyFont="1" applyNumberFormat="1"/>
    <xf borderId="0" fillId="0" fontId="1" numFmtId="164" xfId="0" applyAlignment="1" applyFont="1" applyNumberFormat="1">
      <alignment readingOrder="0" shrinkToFit="0" wrapText="0"/>
    </xf>
    <xf borderId="0" fillId="2" fontId="3" numFmtId="164" xfId="0" applyAlignment="1" applyFont="1" applyNumberFormat="1">
      <alignment horizontal="left" readingOrder="0"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>
        <v>45570.0</v>
      </c>
      <c r="C2" s="6" t="s">
        <v>11</v>
      </c>
      <c r="D2" s="6" t="s">
        <v>12</v>
      </c>
      <c r="F2" s="6">
        <v>1.0</v>
      </c>
      <c r="G2" s="7">
        <v>60.033</v>
      </c>
      <c r="H2" s="8">
        <v>26.5</v>
      </c>
      <c r="I2" s="6">
        <v>2168.9</v>
      </c>
      <c r="K2" s="6" t="s">
        <v>13</v>
      </c>
    </row>
    <row r="3">
      <c r="A3" s="5">
        <v>45570.0</v>
      </c>
      <c r="C3" s="6" t="s">
        <v>14</v>
      </c>
      <c r="D3" s="6" t="s">
        <v>12</v>
      </c>
      <c r="F3" s="6">
        <v>2.0</v>
      </c>
      <c r="G3" s="9">
        <v>59.999</v>
      </c>
      <c r="H3" s="8"/>
      <c r="I3" s="6">
        <v>2211.4</v>
      </c>
      <c r="K3" s="6" t="s">
        <v>13</v>
      </c>
    </row>
    <row r="4">
      <c r="A4" s="5">
        <v>45570.0</v>
      </c>
      <c r="C4" s="6" t="s">
        <v>11</v>
      </c>
      <c r="D4" s="6" t="s">
        <v>12</v>
      </c>
      <c r="F4" s="6">
        <v>3.0</v>
      </c>
      <c r="G4" s="9">
        <v>60.065</v>
      </c>
      <c r="H4" s="8"/>
      <c r="I4" s="6">
        <v>2171.2</v>
      </c>
      <c r="K4" s="6" t="s">
        <v>13</v>
      </c>
    </row>
    <row r="5">
      <c r="A5" s="5">
        <v>45570.0</v>
      </c>
      <c r="C5" s="6" t="s">
        <v>14</v>
      </c>
      <c r="D5" s="6" t="s">
        <v>12</v>
      </c>
      <c r="F5" s="6">
        <v>4.0</v>
      </c>
      <c r="G5" s="9">
        <v>60.017</v>
      </c>
      <c r="H5" s="8">
        <v>25.2</v>
      </c>
      <c r="I5" s="6">
        <v>2150.5</v>
      </c>
      <c r="K5" s="6" t="s">
        <v>15</v>
      </c>
    </row>
    <row r="6">
      <c r="A6" s="5">
        <v>45570.0</v>
      </c>
      <c r="C6" s="6" t="s">
        <v>14</v>
      </c>
      <c r="D6" s="6" t="s">
        <v>12</v>
      </c>
      <c r="F6" s="6">
        <v>5.0</v>
      </c>
      <c r="G6" s="9">
        <v>60.112</v>
      </c>
      <c r="H6" s="8">
        <v>25.0</v>
      </c>
      <c r="I6" s="6">
        <v>2138.7</v>
      </c>
      <c r="K6" s="6" t="s">
        <v>15</v>
      </c>
    </row>
    <row r="7">
      <c r="A7" s="5">
        <v>45570.0</v>
      </c>
      <c r="B7" s="6">
        <v>1.0</v>
      </c>
      <c r="C7" s="6" t="s">
        <v>11</v>
      </c>
      <c r="D7" s="6">
        <v>1.0</v>
      </c>
      <c r="F7" s="6">
        <v>1.0</v>
      </c>
      <c r="G7" s="9">
        <v>60.017</v>
      </c>
      <c r="H7" s="8">
        <v>24.7</v>
      </c>
      <c r="I7" s="6">
        <v>2201.1</v>
      </c>
      <c r="K7" s="6" t="s">
        <v>16</v>
      </c>
    </row>
    <row r="8">
      <c r="A8" s="5">
        <v>45570.0</v>
      </c>
      <c r="B8" s="6">
        <v>1.0</v>
      </c>
      <c r="C8" s="6" t="s">
        <v>11</v>
      </c>
      <c r="D8" s="6">
        <v>1.0</v>
      </c>
      <c r="F8" s="6">
        <v>2.0</v>
      </c>
      <c r="G8" s="9">
        <v>60.011</v>
      </c>
      <c r="H8" s="8">
        <v>24.5</v>
      </c>
      <c r="I8" s="6">
        <v>2202.2</v>
      </c>
      <c r="J8" s="10">
        <f>Average(I7:I8)</f>
        <v>2201.65</v>
      </c>
    </row>
    <row r="9">
      <c r="A9" s="5">
        <v>45570.0</v>
      </c>
      <c r="B9" s="6">
        <v>1.0</v>
      </c>
      <c r="C9" s="6" t="s">
        <v>11</v>
      </c>
      <c r="D9" s="6">
        <v>1.0</v>
      </c>
      <c r="F9" s="6">
        <v>3.0</v>
      </c>
      <c r="G9" s="9">
        <v>60.005</v>
      </c>
      <c r="H9" s="8">
        <v>24.3</v>
      </c>
      <c r="I9" s="6">
        <v>2197.3</v>
      </c>
    </row>
    <row r="10">
      <c r="A10" s="5">
        <v>45570.0</v>
      </c>
      <c r="B10" s="6">
        <v>1.0</v>
      </c>
      <c r="C10" s="6" t="s">
        <v>11</v>
      </c>
      <c r="D10" s="6">
        <v>2.0</v>
      </c>
      <c r="E10" s="10">
        <f>180+66.764</f>
        <v>246.764</v>
      </c>
      <c r="F10" s="6">
        <v>1.0</v>
      </c>
      <c r="G10" s="7">
        <v>60.032</v>
      </c>
      <c r="H10" s="8">
        <v>24.9</v>
      </c>
      <c r="I10" s="6">
        <v>2206.6</v>
      </c>
    </row>
    <row r="11">
      <c r="A11" s="5">
        <v>45570.0</v>
      </c>
      <c r="B11" s="6">
        <v>1.0</v>
      </c>
      <c r="C11" s="6" t="s">
        <v>11</v>
      </c>
      <c r="D11" s="6">
        <v>2.0</v>
      </c>
      <c r="F11" s="6">
        <v>2.0</v>
      </c>
      <c r="G11" s="9">
        <v>60.029</v>
      </c>
      <c r="H11" s="8">
        <v>24.7</v>
      </c>
      <c r="I11" s="6">
        <v>2210.7</v>
      </c>
    </row>
    <row r="12">
      <c r="A12" s="5">
        <v>45570.0</v>
      </c>
      <c r="B12" s="6">
        <v>1.0</v>
      </c>
      <c r="C12" s="6" t="s">
        <v>11</v>
      </c>
      <c r="D12" s="6">
        <v>2.0</v>
      </c>
      <c r="F12" s="6">
        <v>3.0</v>
      </c>
      <c r="G12" s="9">
        <v>60.1</v>
      </c>
      <c r="H12" s="8">
        <v>24.7</v>
      </c>
      <c r="I12" s="6">
        <v>2206.8</v>
      </c>
      <c r="J12" s="10">
        <f>Average(I12,I10)</f>
        <v>2206.7</v>
      </c>
    </row>
    <row r="13">
      <c r="A13" s="5">
        <v>45570.0</v>
      </c>
      <c r="B13" s="6">
        <v>1.0</v>
      </c>
      <c r="C13" s="6" t="s">
        <v>11</v>
      </c>
      <c r="D13" s="6">
        <v>3.0</v>
      </c>
      <c r="E13" s="10">
        <f>180+60.699</f>
        <v>240.699</v>
      </c>
      <c r="F13" s="6">
        <v>1.0</v>
      </c>
      <c r="G13" s="9">
        <v>60.035</v>
      </c>
      <c r="H13" s="8">
        <v>24.8</v>
      </c>
      <c r="I13" s="6">
        <v>2197.2</v>
      </c>
    </row>
    <row r="14">
      <c r="A14" s="5">
        <v>45570.0</v>
      </c>
      <c r="B14" s="6">
        <v>1.0</v>
      </c>
      <c r="C14" s="6" t="s">
        <v>11</v>
      </c>
      <c r="D14" s="6">
        <v>3.0</v>
      </c>
      <c r="F14" s="6">
        <v>2.0</v>
      </c>
      <c r="G14" s="9">
        <v>60.008</v>
      </c>
      <c r="H14" s="8">
        <v>24.6</v>
      </c>
      <c r="I14" s="6">
        <v>2198.2</v>
      </c>
      <c r="J14" s="10">
        <f>Average(I13:I14)</f>
        <v>2197.7</v>
      </c>
    </row>
    <row r="15">
      <c r="A15" s="5">
        <v>45570.0</v>
      </c>
      <c r="G15" s="9"/>
      <c r="H15" s="8"/>
    </row>
    <row r="16">
      <c r="A16" s="5">
        <v>45570.0</v>
      </c>
      <c r="B16" s="6">
        <v>1.0</v>
      </c>
      <c r="C16" s="6" t="s">
        <v>11</v>
      </c>
      <c r="D16" s="6">
        <v>4.0</v>
      </c>
      <c r="E16" s="10">
        <f>58.119+180</f>
        <v>238.119</v>
      </c>
      <c r="F16" s="6">
        <v>1.0</v>
      </c>
      <c r="G16" s="9">
        <v>60.023</v>
      </c>
      <c r="H16" s="8">
        <v>24.6</v>
      </c>
      <c r="I16" s="6">
        <v>2203.1</v>
      </c>
    </row>
    <row r="17">
      <c r="A17" s="5">
        <v>45570.0</v>
      </c>
      <c r="B17" s="6">
        <v>1.0</v>
      </c>
      <c r="C17" s="6" t="s">
        <v>11</v>
      </c>
      <c r="D17" s="6">
        <v>4.0</v>
      </c>
      <c r="F17" s="6">
        <v>2.0</v>
      </c>
      <c r="G17" s="9">
        <v>60.024</v>
      </c>
      <c r="H17" s="8">
        <v>24.6</v>
      </c>
      <c r="I17" s="6">
        <v>2208.8</v>
      </c>
    </row>
    <row r="18">
      <c r="A18" s="5">
        <v>45570.0</v>
      </c>
      <c r="B18" s="6">
        <v>1.0</v>
      </c>
      <c r="C18" s="6" t="s">
        <v>11</v>
      </c>
      <c r="D18" s="6">
        <v>4.0</v>
      </c>
      <c r="F18" s="6">
        <v>3.0</v>
      </c>
      <c r="G18" s="9">
        <v>60.069</v>
      </c>
      <c r="H18" s="8">
        <v>24.4</v>
      </c>
      <c r="I18" s="6">
        <v>2208.4</v>
      </c>
      <c r="J18" s="10">
        <f>Average(I17:I18)</f>
        <v>2208.6</v>
      </c>
    </row>
    <row r="19">
      <c r="A19" s="5">
        <v>45570.0</v>
      </c>
      <c r="B19" s="6">
        <v>1.0</v>
      </c>
      <c r="C19" s="6" t="s">
        <v>11</v>
      </c>
      <c r="D19" s="6">
        <v>5.0</v>
      </c>
      <c r="E19" s="10">
        <f>61.974+180</f>
        <v>241.974</v>
      </c>
      <c r="F19" s="6">
        <v>1.0</v>
      </c>
      <c r="G19" s="9">
        <v>60.017</v>
      </c>
      <c r="H19" s="8"/>
      <c r="I19" s="6">
        <v>2174.0</v>
      </c>
      <c r="K19" s="6" t="s">
        <v>17</v>
      </c>
    </row>
    <row r="20">
      <c r="A20" s="5">
        <v>45570.0</v>
      </c>
      <c r="B20" s="6">
        <v>1.0</v>
      </c>
      <c r="C20" s="6" t="s">
        <v>11</v>
      </c>
      <c r="D20" s="6">
        <v>5.0</v>
      </c>
      <c r="F20" s="6">
        <v>2.0</v>
      </c>
      <c r="G20" s="9">
        <v>60.001</v>
      </c>
      <c r="H20" s="8">
        <v>24.1</v>
      </c>
      <c r="I20" s="6">
        <v>2169.0</v>
      </c>
      <c r="J20" s="10">
        <f>Average(I19:I20)</f>
        <v>2171.5</v>
      </c>
    </row>
    <row r="21">
      <c r="A21" s="5">
        <v>45570.0</v>
      </c>
      <c r="B21" s="6">
        <v>1.0</v>
      </c>
      <c r="C21" s="6" t="s">
        <v>11</v>
      </c>
      <c r="D21" s="6">
        <v>5.0</v>
      </c>
      <c r="F21" s="6">
        <v>3.0</v>
      </c>
      <c r="G21" s="9">
        <v>60.047</v>
      </c>
      <c r="H21" s="8">
        <v>24.0</v>
      </c>
      <c r="I21" s="6">
        <v>2162.7</v>
      </c>
    </row>
    <row r="22">
      <c r="A22" s="5">
        <v>45570.0</v>
      </c>
      <c r="B22" s="6">
        <v>1.0</v>
      </c>
      <c r="C22" s="6" t="s">
        <v>11</v>
      </c>
      <c r="D22" s="6">
        <v>6.0</v>
      </c>
      <c r="E22" s="10">
        <f>180+61.521</f>
        <v>241.521</v>
      </c>
      <c r="F22" s="6">
        <v>1.0</v>
      </c>
      <c r="G22" s="9">
        <v>60.008</v>
      </c>
      <c r="H22" s="8">
        <v>24.0</v>
      </c>
      <c r="I22" s="6">
        <v>2194.4</v>
      </c>
    </row>
    <row r="23">
      <c r="A23" s="5">
        <v>45570.0</v>
      </c>
      <c r="B23" s="6">
        <v>1.0</v>
      </c>
      <c r="C23" s="6" t="s">
        <v>11</v>
      </c>
      <c r="D23" s="6">
        <v>6.0</v>
      </c>
      <c r="F23" s="6">
        <v>2.0</v>
      </c>
      <c r="G23" s="9">
        <v>60.013</v>
      </c>
      <c r="H23" s="8">
        <v>23.9</v>
      </c>
      <c r="I23" s="6">
        <v>2192.1</v>
      </c>
      <c r="J23" s="10">
        <f>Average(I22:I23)</f>
        <v>2193.25</v>
      </c>
    </row>
    <row r="24">
      <c r="A24" s="5">
        <v>45570.0</v>
      </c>
      <c r="G24" s="9"/>
      <c r="H24" s="8"/>
    </row>
    <row r="25">
      <c r="A25" s="5">
        <v>45570.0</v>
      </c>
      <c r="B25" s="6">
        <v>1.0</v>
      </c>
      <c r="C25" s="6" t="s">
        <v>14</v>
      </c>
      <c r="D25" s="6">
        <v>7.0</v>
      </c>
      <c r="E25" s="10">
        <f>47.606+180</f>
        <v>227.606</v>
      </c>
      <c r="F25" s="6">
        <v>1.0</v>
      </c>
      <c r="G25" s="9">
        <v>60.099</v>
      </c>
      <c r="H25" s="8">
        <v>24.5</v>
      </c>
      <c r="I25" s="6">
        <v>2140.0</v>
      </c>
    </row>
    <row r="26">
      <c r="A26" s="5">
        <v>45570.0</v>
      </c>
      <c r="B26" s="6">
        <v>1.0</v>
      </c>
      <c r="C26" s="6" t="s">
        <v>14</v>
      </c>
      <c r="D26" s="6">
        <v>7.0</v>
      </c>
      <c r="F26" s="6">
        <v>2.0</v>
      </c>
      <c r="G26" s="9">
        <v>60.129</v>
      </c>
      <c r="H26" s="8">
        <v>24.3</v>
      </c>
      <c r="I26" s="6">
        <v>2140.0</v>
      </c>
      <c r="J26" s="10">
        <f>Average(I25:I26)</f>
        <v>2140</v>
      </c>
    </row>
    <row r="27">
      <c r="A27" s="5">
        <v>45570.0</v>
      </c>
      <c r="G27" s="9"/>
      <c r="H27" s="8"/>
    </row>
    <row r="28">
      <c r="A28" s="5">
        <v>45570.0</v>
      </c>
      <c r="B28" s="6">
        <v>1.0</v>
      </c>
      <c r="C28" s="6" t="s">
        <v>11</v>
      </c>
      <c r="D28" s="6">
        <v>8.0</v>
      </c>
      <c r="E28" s="10">
        <f>60.574+180</f>
        <v>240.574</v>
      </c>
      <c r="F28" s="6">
        <v>1.0</v>
      </c>
      <c r="G28" s="9">
        <v>60.051</v>
      </c>
      <c r="H28" s="8">
        <v>24.6</v>
      </c>
      <c r="I28" s="6">
        <v>2156.7</v>
      </c>
    </row>
    <row r="29">
      <c r="A29" s="5">
        <v>45570.0</v>
      </c>
      <c r="B29" s="6">
        <v>1.0</v>
      </c>
      <c r="C29" s="6" t="s">
        <v>11</v>
      </c>
      <c r="D29" s="6">
        <v>8.0</v>
      </c>
      <c r="F29" s="6">
        <v>2.0</v>
      </c>
      <c r="G29" s="9">
        <v>60.055</v>
      </c>
      <c r="H29" s="8"/>
      <c r="I29" s="6">
        <v>2158.1</v>
      </c>
      <c r="J29" s="10">
        <f>Average(I28:I29)</f>
        <v>2157.4</v>
      </c>
    </row>
    <row r="30">
      <c r="A30" s="5">
        <v>45570.0</v>
      </c>
      <c r="G30" s="9"/>
      <c r="H30" s="8"/>
    </row>
    <row r="31">
      <c r="A31" s="5">
        <v>45570.0</v>
      </c>
      <c r="B31" s="6">
        <v>1.0</v>
      </c>
      <c r="C31" s="6" t="s">
        <v>14</v>
      </c>
      <c r="D31" s="6">
        <v>9.0</v>
      </c>
      <c r="E31" s="10">
        <f>63.634+180</f>
        <v>243.634</v>
      </c>
      <c r="F31" s="6">
        <v>1.0</v>
      </c>
      <c r="G31" s="9">
        <v>60.131</v>
      </c>
      <c r="H31" s="8">
        <v>24.6</v>
      </c>
      <c r="I31" s="6">
        <v>2150.1</v>
      </c>
    </row>
    <row r="32">
      <c r="A32" s="5">
        <v>45570.0</v>
      </c>
      <c r="B32" s="6">
        <v>1.0</v>
      </c>
      <c r="C32" s="6" t="s">
        <v>14</v>
      </c>
      <c r="D32" s="6">
        <v>9.0</v>
      </c>
      <c r="F32" s="6">
        <v>2.0</v>
      </c>
      <c r="G32" s="9">
        <v>60.139</v>
      </c>
      <c r="H32" s="8">
        <v>24.2</v>
      </c>
      <c r="I32" s="6">
        <v>2149.6</v>
      </c>
      <c r="J32" s="10">
        <f>Average(I31:I32)</f>
        <v>2149.85</v>
      </c>
    </row>
    <row r="33">
      <c r="A33" s="5">
        <v>45570.0</v>
      </c>
      <c r="G33" s="9"/>
      <c r="H33" s="8"/>
    </row>
    <row r="34">
      <c r="A34" s="5">
        <v>45570.0</v>
      </c>
      <c r="B34" s="6">
        <v>1.0</v>
      </c>
      <c r="C34" s="6" t="s">
        <v>11</v>
      </c>
      <c r="D34" s="6">
        <v>10.0</v>
      </c>
      <c r="E34" s="10">
        <f>59.593+180</f>
        <v>239.593</v>
      </c>
      <c r="F34" s="6">
        <v>1.0</v>
      </c>
      <c r="G34" s="9">
        <v>60.078</v>
      </c>
      <c r="H34" s="8">
        <v>24.6</v>
      </c>
      <c r="I34" s="6">
        <v>2159.3</v>
      </c>
    </row>
    <row r="35">
      <c r="A35" s="5">
        <v>45570.0</v>
      </c>
      <c r="B35" s="6">
        <v>1.0</v>
      </c>
      <c r="C35" s="6" t="s">
        <v>11</v>
      </c>
      <c r="D35" s="6">
        <v>10.0</v>
      </c>
      <c r="F35" s="6">
        <v>2.0</v>
      </c>
      <c r="G35" s="9">
        <v>60.074</v>
      </c>
      <c r="H35" s="11"/>
      <c r="I35" s="6">
        <v>2147.5</v>
      </c>
      <c r="J35" s="10">
        <f>Average(I34:I35)</f>
        <v>2153.4</v>
      </c>
    </row>
    <row r="36">
      <c r="A36" s="5">
        <v>45570.0</v>
      </c>
      <c r="B36" s="6">
        <v>1.0</v>
      </c>
      <c r="C36" s="6" t="s">
        <v>11</v>
      </c>
      <c r="D36" s="6">
        <v>10.0</v>
      </c>
      <c r="F36" s="6">
        <v>3.0</v>
      </c>
      <c r="G36" s="9">
        <v>60.013</v>
      </c>
      <c r="H36" s="8">
        <v>24.1</v>
      </c>
      <c r="I36" s="6">
        <v>808.4</v>
      </c>
      <c r="K36" s="6" t="s">
        <v>18</v>
      </c>
    </row>
    <row r="37">
      <c r="A37" s="5">
        <v>45570.0</v>
      </c>
      <c r="B37" s="6">
        <v>1.0</v>
      </c>
      <c r="C37" s="6" t="s">
        <v>14</v>
      </c>
      <c r="D37" s="6">
        <v>11.0</v>
      </c>
      <c r="E37" s="10">
        <f>55.195+180</f>
        <v>235.195</v>
      </c>
      <c r="F37" s="6">
        <v>1.0</v>
      </c>
      <c r="G37" s="9">
        <v>60.097</v>
      </c>
      <c r="H37" s="8">
        <v>24.7</v>
      </c>
      <c r="I37" s="6">
        <v>2142.8</v>
      </c>
    </row>
    <row r="38">
      <c r="A38" s="5">
        <v>45570.0</v>
      </c>
      <c r="B38" s="6">
        <v>1.0</v>
      </c>
      <c r="C38" s="6" t="s">
        <v>14</v>
      </c>
      <c r="D38" s="6">
        <v>11.0</v>
      </c>
      <c r="F38" s="6">
        <v>2.0</v>
      </c>
      <c r="G38" s="9">
        <v>60.021</v>
      </c>
      <c r="H38" s="8">
        <v>24.4</v>
      </c>
      <c r="I38" s="6">
        <v>2146.0</v>
      </c>
    </row>
    <row r="39">
      <c r="A39" s="5">
        <v>45570.0</v>
      </c>
      <c r="B39" s="6">
        <v>1.0</v>
      </c>
      <c r="C39" s="6" t="s">
        <v>14</v>
      </c>
      <c r="D39" s="6">
        <v>11.0</v>
      </c>
      <c r="F39" s="6">
        <v>3.0</v>
      </c>
      <c r="G39" s="9">
        <v>60.0128</v>
      </c>
      <c r="H39" s="8">
        <v>23.7</v>
      </c>
      <c r="I39" s="6">
        <v>2149.9</v>
      </c>
      <c r="J39" s="10">
        <f>Average(I38:I39)</f>
        <v>2147.95</v>
      </c>
    </row>
    <row r="40">
      <c r="A40" s="5">
        <v>45570.0</v>
      </c>
      <c r="B40" s="6">
        <v>1.0</v>
      </c>
      <c r="C40" s="6" t="s">
        <v>11</v>
      </c>
      <c r="D40" s="6">
        <v>12.0</v>
      </c>
      <c r="E40" s="10">
        <f>55.642+180</f>
        <v>235.642</v>
      </c>
      <c r="F40" s="6">
        <v>1.0</v>
      </c>
      <c r="G40" s="9">
        <v>60.094</v>
      </c>
      <c r="H40" s="8">
        <v>24.5</v>
      </c>
      <c r="I40" s="6">
        <v>2155.0</v>
      </c>
    </row>
    <row r="41">
      <c r="A41" s="5">
        <v>45570.0</v>
      </c>
      <c r="B41" s="6">
        <v>1.0</v>
      </c>
      <c r="C41" s="6" t="s">
        <v>11</v>
      </c>
      <c r="D41" s="6">
        <v>12.0</v>
      </c>
      <c r="F41" s="6">
        <v>2.0</v>
      </c>
      <c r="G41" s="9">
        <v>60.108</v>
      </c>
      <c r="H41" s="8">
        <v>24.2</v>
      </c>
      <c r="I41" s="6">
        <v>2142.6</v>
      </c>
    </row>
    <row r="42">
      <c r="A42" s="5">
        <v>45570.0</v>
      </c>
      <c r="B42" s="6">
        <v>1.0</v>
      </c>
      <c r="C42" s="6" t="s">
        <v>11</v>
      </c>
      <c r="D42" s="6">
        <v>12.0</v>
      </c>
      <c r="F42" s="6">
        <v>3.0</v>
      </c>
      <c r="G42" s="9">
        <v>60.049</v>
      </c>
      <c r="H42" s="8"/>
      <c r="I42" s="6">
        <v>2145.5</v>
      </c>
      <c r="J42" s="10">
        <f>Average(I41:I42)</f>
        <v>2144.05</v>
      </c>
    </row>
    <row r="43">
      <c r="A43" s="5">
        <v>45570.0</v>
      </c>
      <c r="B43" s="6">
        <v>1.0</v>
      </c>
      <c r="C43" s="6" t="s">
        <v>14</v>
      </c>
      <c r="D43" s="6">
        <v>13.0</v>
      </c>
      <c r="E43" s="10">
        <f>46.821+180</f>
        <v>226.821</v>
      </c>
      <c r="F43" s="6">
        <v>1.0</v>
      </c>
      <c r="G43" s="9">
        <v>60.105</v>
      </c>
      <c r="H43" s="8">
        <v>24.4</v>
      </c>
      <c r="I43" s="6">
        <v>2195.3</v>
      </c>
    </row>
    <row r="44">
      <c r="A44" s="5">
        <v>45570.0</v>
      </c>
      <c r="B44" s="6">
        <v>1.0</v>
      </c>
      <c r="C44" s="6" t="s">
        <v>14</v>
      </c>
      <c r="D44" s="6">
        <v>13.0</v>
      </c>
      <c r="F44" s="6">
        <v>2.0</v>
      </c>
      <c r="G44" s="9">
        <v>60.032</v>
      </c>
      <c r="H44" s="8">
        <v>24.1</v>
      </c>
      <c r="I44" s="6">
        <v>2195.0</v>
      </c>
      <c r="J44" s="10">
        <f>Average(I43:I44)</f>
        <v>2195.15</v>
      </c>
    </row>
    <row r="45">
      <c r="A45" s="5">
        <v>45570.0</v>
      </c>
      <c r="G45" s="9"/>
      <c r="H45" s="8"/>
    </row>
    <row r="46">
      <c r="A46" s="5">
        <v>45570.0</v>
      </c>
      <c r="B46" s="6">
        <v>1.0</v>
      </c>
      <c r="C46" s="6" t="s">
        <v>11</v>
      </c>
      <c r="D46" s="1">
        <v>14.0</v>
      </c>
      <c r="F46" s="6">
        <v>1.0</v>
      </c>
      <c r="G46" s="9">
        <v>60.023</v>
      </c>
      <c r="H46" s="8"/>
      <c r="I46" s="6">
        <v>2180.3</v>
      </c>
    </row>
    <row r="47">
      <c r="A47" s="5">
        <v>45570.0</v>
      </c>
      <c r="B47" s="6">
        <v>1.0</v>
      </c>
      <c r="C47" s="6" t="s">
        <v>11</v>
      </c>
      <c r="D47" s="1">
        <v>14.0</v>
      </c>
      <c r="F47" s="6">
        <v>2.0</v>
      </c>
      <c r="G47" s="9">
        <v>60.072</v>
      </c>
      <c r="H47" s="8">
        <v>24.2</v>
      </c>
      <c r="I47" s="6">
        <v>2188.9</v>
      </c>
    </row>
    <row r="48">
      <c r="A48" s="5">
        <v>45570.0</v>
      </c>
      <c r="B48" s="6">
        <v>1.0</v>
      </c>
      <c r="C48" s="6" t="s">
        <v>11</v>
      </c>
      <c r="D48" s="1">
        <v>14.0</v>
      </c>
      <c r="F48" s="6">
        <v>3.0</v>
      </c>
      <c r="G48" s="9">
        <v>60.077</v>
      </c>
      <c r="H48" s="8">
        <v>24.0</v>
      </c>
      <c r="I48" s="6">
        <v>2188.3</v>
      </c>
      <c r="J48" s="10">
        <f>Average(I47:I48)</f>
        <v>2188.6</v>
      </c>
    </row>
    <row r="49">
      <c r="A49" s="5">
        <v>45570.0</v>
      </c>
      <c r="B49" s="6">
        <v>1.0</v>
      </c>
      <c r="C49" s="6" t="s">
        <v>14</v>
      </c>
      <c r="D49" s="6">
        <v>15.0</v>
      </c>
      <c r="E49" s="10">
        <f>64.192+180</f>
        <v>244.192</v>
      </c>
      <c r="F49" s="6">
        <v>1.0</v>
      </c>
      <c r="G49" s="9">
        <v>60.103</v>
      </c>
      <c r="H49" s="8">
        <v>24.1</v>
      </c>
      <c r="I49" s="6">
        <v>2163.8</v>
      </c>
    </row>
    <row r="50">
      <c r="A50" s="5">
        <v>45570.0</v>
      </c>
      <c r="B50" s="6">
        <v>1.0</v>
      </c>
      <c r="C50" s="6" t="s">
        <v>14</v>
      </c>
      <c r="D50" s="6">
        <v>15.0</v>
      </c>
      <c r="F50" s="6">
        <v>2.0</v>
      </c>
      <c r="G50" s="9">
        <v>60.025</v>
      </c>
      <c r="H50" s="8">
        <v>24.0</v>
      </c>
      <c r="I50" s="6">
        <v>2170.4</v>
      </c>
    </row>
    <row r="51">
      <c r="A51" s="5">
        <v>45570.0</v>
      </c>
      <c r="B51" s="6">
        <v>1.0</v>
      </c>
      <c r="C51" s="6" t="s">
        <v>14</v>
      </c>
      <c r="D51" s="6">
        <v>15.0</v>
      </c>
      <c r="F51" s="6">
        <v>3.0</v>
      </c>
      <c r="G51" s="9">
        <v>60.016</v>
      </c>
      <c r="H51" s="8"/>
      <c r="I51" s="6">
        <v>2165.5</v>
      </c>
      <c r="J51" s="10">
        <f>Average(I49,I51)</f>
        <v>2164.65</v>
      </c>
    </row>
    <row r="52">
      <c r="A52" s="5">
        <v>45570.0</v>
      </c>
      <c r="B52" s="6">
        <v>1.0</v>
      </c>
      <c r="C52" s="6" t="s">
        <v>11</v>
      </c>
      <c r="D52" s="6">
        <v>16.0</v>
      </c>
      <c r="E52" s="10">
        <f>58.614+180</f>
        <v>238.614</v>
      </c>
      <c r="F52" s="6">
        <v>1.0</v>
      </c>
      <c r="G52" s="9">
        <v>60.091</v>
      </c>
      <c r="H52" s="8">
        <v>24.0</v>
      </c>
      <c r="I52" s="6">
        <v>2198.0</v>
      </c>
    </row>
    <row r="53">
      <c r="A53" s="5">
        <v>45570.0</v>
      </c>
      <c r="B53" s="6">
        <v>1.0</v>
      </c>
      <c r="C53" s="6" t="s">
        <v>11</v>
      </c>
      <c r="D53" s="6">
        <v>16.0</v>
      </c>
      <c r="F53" s="6">
        <v>2.0</v>
      </c>
      <c r="G53" s="9">
        <v>60.074</v>
      </c>
      <c r="H53" s="8">
        <v>23.9</v>
      </c>
      <c r="I53" s="6">
        <v>2195.3</v>
      </c>
      <c r="J53" s="10">
        <f>Average(I51,I53)</f>
        <v>2180.4</v>
      </c>
    </row>
    <row r="54">
      <c r="A54" s="5">
        <v>45570.0</v>
      </c>
      <c r="G54" s="9"/>
      <c r="H54" s="8"/>
    </row>
    <row r="55">
      <c r="A55" s="5">
        <v>45570.0</v>
      </c>
      <c r="B55" s="6">
        <v>1.0</v>
      </c>
      <c r="C55" s="6" t="s">
        <v>14</v>
      </c>
      <c r="D55" s="6">
        <v>17.0</v>
      </c>
      <c r="E55" s="10">
        <f>54.605+180</f>
        <v>234.605</v>
      </c>
      <c r="F55" s="6">
        <v>1.0</v>
      </c>
      <c r="G55" s="9">
        <v>60.012</v>
      </c>
      <c r="H55" s="8">
        <v>24.1</v>
      </c>
      <c r="I55" s="6">
        <v>2156.4</v>
      </c>
    </row>
    <row r="56">
      <c r="A56" s="5">
        <v>45570.0</v>
      </c>
      <c r="B56" s="6">
        <v>1.0</v>
      </c>
      <c r="C56" s="6" t="s">
        <v>14</v>
      </c>
      <c r="D56" s="6">
        <v>17.0</v>
      </c>
      <c r="F56" s="6">
        <v>2.0</v>
      </c>
      <c r="G56" s="9">
        <v>60.016</v>
      </c>
      <c r="H56" s="8">
        <v>24.0</v>
      </c>
      <c r="I56" s="6">
        <v>2165.3</v>
      </c>
    </row>
    <row r="57">
      <c r="A57" s="5">
        <v>45570.0</v>
      </c>
      <c r="B57" s="6">
        <v>1.0</v>
      </c>
      <c r="C57" s="6" t="s">
        <v>14</v>
      </c>
      <c r="D57" s="6">
        <v>17.0</v>
      </c>
      <c r="F57" s="6">
        <v>3.0</v>
      </c>
      <c r="G57" s="9">
        <v>60.026</v>
      </c>
      <c r="H57" s="8">
        <v>23.8</v>
      </c>
      <c r="I57" s="6">
        <v>2164.9</v>
      </c>
      <c r="J57" s="10">
        <f>Average(I55,I57)</f>
        <v>2160.65</v>
      </c>
    </row>
    <row r="58">
      <c r="A58" s="5">
        <v>45570.0</v>
      </c>
      <c r="B58" s="6">
        <v>1.0</v>
      </c>
      <c r="C58" s="6" t="s">
        <v>11</v>
      </c>
      <c r="D58" s="6">
        <v>18.0</v>
      </c>
      <c r="E58" s="10">
        <f>60.702+180</f>
        <v>240.702</v>
      </c>
      <c r="F58" s="6">
        <v>1.0</v>
      </c>
      <c r="G58" s="9">
        <v>60.05</v>
      </c>
      <c r="H58" s="8">
        <v>24.2</v>
      </c>
      <c r="I58" s="6">
        <v>2190.4</v>
      </c>
    </row>
    <row r="59">
      <c r="A59" s="5">
        <v>45570.0</v>
      </c>
      <c r="B59" s="6">
        <v>1.0</v>
      </c>
      <c r="C59" s="6" t="s">
        <v>11</v>
      </c>
      <c r="D59" s="6">
        <v>18.0</v>
      </c>
      <c r="F59" s="6">
        <v>2.0</v>
      </c>
      <c r="G59" s="9">
        <v>60.019</v>
      </c>
      <c r="H59" s="8">
        <v>24.1</v>
      </c>
      <c r="I59" s="6">
        <v>2180.7</v>
      </c>
    </row>
    <row r="60">
      <c r="A60" s="5">
        <v>45570.0</v>
      </c>
      <c r="B60" s="6">
        <v>1.0</v>
      </c>
      <c r="C60" s="6" t="s">
        <v>11</v>
      </c>
      <c r="D60" s="6">
        <v>18.0</v>
      </c>
      <c r="F60" s="6">
        <v>3.0</v>
      </c>
      <c r="G60" s="9">
        <v>60.039</v>
      </c>
      <c r="H60" s="8">
        <v>23.6</v>
      </c>
      <c r="I60" s="6">
        <v>2184.3</v>
      </c>
      <c r="J60" s="10">
        <f>Average(I58,I60)</f>
        <v>2187.35</v>
      </c>
    </row>
    <row r="61">
      <c r="A61" s="5">
        <v>45570.0</v>
      </c>
      <c r="B61" s="6">
        <v>1.0</v>
      </c>
      <c r="C61" s="6" t="s">
        <v>14</v>
      </c>
      <c r="D61" s="6">
        <v>19.0</v>
      </c>
      <c r="E61" s="10">
        <f>59.032+180</f>
        <v>239.032</v>
      </c>
      <c r="F61" s="6">
        <v>1.0</v>
      </c>
      <c r="G61" s="9">
        <v>60.08</v>
      </c>
      <c r="H61" s="8">
        <v>23.9</v>
      </c>
      <c r="I61" s="6">
        <v>2176.3</v>
      </c>
    </row>
    <row r="62">
      <c r="A62" s="5">
        <v>45570.0</v>
      </c>
      <c r="B62" s="6">
        <v>1.0</v>
      </c>
      <c r="C62" s="6" t="s">
        <v>14</v>
      </c>
      <c r="D62" s="6">
        <v>19.0</v>
      </c>
      <c r="F62" s="6">
        <v>2.0</v>
      </c>
      <c r="G62" s="9">
        <v>60.063</v>
      </c>
      <c r="H62" s="8">
        <v>23.7</v>
      </c>
      <c r="I62" s="6">
        <v>2155.7</v>
      </c>
    </row>
    <row r="63">
      <c r="A63" s="5">
        <v>45570.0</v>
      </c>
      <c r="B63" s="6">
        <v>1.0</v>
      </c>
      <c r="C63" s="6" t="s">
        <v>14</v>
      </c>
      <c r="D63" s="6">
        <v>19.0</v>
      </c>
      <c r="F63" s="6">
        <v>3.0</v>
      </c>
      <c r="G63" s="9">
        <v>60.033</v>
      </c>
      <c r="H63" s="8">
        <v>23.5</v>
      </c>
      <c r="I63" s="6">
        <v>2163.9</v>
      </c>
      <c r="J63" s="10">
        <f>Average(I61,I63)</f>
        <v>2170.1</v>
      </c>
    </row>
    <row r="64">
      <c r="A64" s="5">
        <v>45570.0</v>
      </c>
      <c r="B64" s="6">
        <v>1.0</v>
      </c>
      <c r="C64" s="6" t="s">
        <v>11</v>
      </c>
      <c r="D64" s="6">
        <v>20.0</v>
      </c>
      <c r="E64" s="10">
        <f>52.607+180</f>
        <v>232.607</v>
      </c>
      <c r="F64" s="6">
        <v>1.0</v>
      </c>
      <c r="G64" s="9">
        <v>59.994</v>
      </c>
      <c r="H64" s="8">
        <v>23.7</v>
      </c>
      <c r="I64" s="6">
        <v>2177.2</v>
      </c>
    </row>
    <row r="65">
      <c r="A65" s="5">
        <v>45570.0</v>
      </c>
      <c r="B65" s="6">
        <v>1.0</v>
      </c>
      <c r="C65" s="6" t="s">
        <v>11</v>
      </c>
      <c r="D65" s="6">
        <v>20.0</v>
      </c>
      <c r="F65" s="6">
        <v>2.0</v>
      </c>
      <c r="G65" s="9">
        <v>60.04</v>
      </c>
      <c r="H65" s="8">
        <v>23.7</v>
      </c>
      <c r="I65" s="6">
        <v>2176.1</v>
      </c>
      <c r="J65" s="10">
        <f>Average(I63,I65)</f>
        <v>2170</v>
      </c>
    </row>
    <row r="66">
      <c r="A66" s="5">
        <v>45570.0</v>
      </c>
      <c r="G66" s="9"/>
      <c r="H66" s="11"/>
    </row>
    <row r="67">
      <c r="A67" s="5">
        <v>45570.0</v>
      </c>
      <c r="B67" s="6">
        <v>1.0</v>
      </c>
      <c r="C67" s="6" t="s">
        <v>14</v>
      </c>
      <c r="D67" s="6">
        <v>21.0</v>
      </c>
      <c r="E67" s="10">
        <f>55.54+180</f>
        <v>235.54</v>
      </c>
      <c r="F67" s="6">
        <v>1.0</v>
      </c>
      <c r="G67" s="9">
        <v>60.027</v>
      </c>
      <c r="H67" s="8">
        <v>23.8</v>
      </c>
      <c r="I67" s="6">
        <v>2151.3</v>
      </c>
    </row>
    <row r="68">
      <c r="A68" s="5">
        <v>45570.0</v>
      </c>
      <c r="B68" s="6">
        <v>1.0</v>
      </c>
      <c r="C68" s="6" t="s">
        <v>14</v>
      </c>
      <c r="D68" s="6">
        <v>21.0</v>
      </c>
      <c r="F68" s="6">
        <v>2.0</v>
      </c>
      <c r="G68" s="9">
        <v>60.048</v>
      </c>
      <c r="H68" s="8">
        <v>23.6</v>
      </c>
      <c r="I68" s="6">
        <v>2148.0</v>
      </c>
      <c r="J68" s="10">
        <f>Average(I67,I68)</f>
        <v>2149.65</v>
      </c>
    </row>
    <row r="69">
      <c r="A69" s="5">
        <v>45570.0</v>
      </c>
      <c r="G69" s="9"/>
      <c r="H69" s="11"/>
    </row>
    <row r="70">
      <c r="A70" s="5">
        <v>45570.0</v>
      </c>
      <c r="B70" s="6">
        <v>1.0</v>
      </c>
      <c r="C70" s="6" t="s">
        <v>11</v>
      </c>
      <c r="D70" s="6">
        <v>22.0</v>
      </c>
      <c r="E70" s="10">
        <f>61.747+180</f>
        <v>241.747</v>
      </c>
      <c r="F70" s="6">
        <v>1.0</v>
      </c>
      <c r="G70" s="9">
        <v>60.057</v>
      </c>
      <c r="H70" s="8">
        <v>24.1</v>
      </c>
      <c r="I70" s="6">
        <v>2175.9</v>
      </c>
    </row>
    <row r="71">
      <c r="A71" s="5">
        <v>45570.0</v>
      </c>
      <c r="B71" s="6">
        <v>1.0</v>
      </c>
      <c r="C71" s="6" t="s">
        <v>11</v>
      </c>
      <c r="D71" s="6">
        <v>22.0</v>
      </c>
      <c r="F71" s="6">
        <v>2.0</v>
      </c>
      <c r="G71" s="9">
        <v>60.01</v>
      </c>
      <c r="H71" s="8">
        <v>23.8</v>
      </c>
      <c r="I71" s="6">
        <v>2176.5</v>
      </c>
      <c r="J71" s="10">
        <f>Average(I70,I71)</f>
        <v>2176.2</v>
      </c>
    </row>
    <row r="72">
      <c r="A72" s="5">
        <v>45570.0</v>
      </c>
      <c r="G72" s="9"/>
      <c r="H72" s="8"/>
    </row>
    <row r="73">
      <c r="A73" s="5">
        <v>45570.0</v>
      </c>
      <c r="B73" s="6">
        <v>1.0</v>
      </c>
      <c r="C73" s="6" t="s">
        <v>14</v>
      </c>
      <c r="D73" s="6">
        <v>23.0</v>
      </c>
      <c r="E73" s="10">
        <f>59.019+180</f>
        <v>239.019</v>
      </c>
      <c r="F73" s="6">
        <v>1.0</v>
      </c>
      <c r="G73" s="9">
        <v>60.039</v>
      </c>
      <c r="H73" s="8">
        <v>23.7</v>
      </c>
      <c r="I73" s="6">
        <v>2149.8</v>
      </c>
    </row>
    <row r="74">
      <c r="A74" s="5">
        <v>45570.0</v>
      </c>
      <c r="B74" s="6">
        <v>1.0</v>
      </c>
      <c r="C74" s="6" t="s">
        <v>14</v>
      </c>
      <c r="D74" s="6">
        <v>23.0</v>
      </c>
      <c r="F74" s="6">
        <v>2.0</v>
      </c>
      <c r="G74" s="9">
        <v>60.042</v>
      </c>
      <c r="H74" s="8"/>
      <c r="I74" s="6">
        <v>2149.9</v>
      </c>
      <c r="J74" s="10">
        <f>Average(I73,I74)</f>
        <v>2149.85</v>
      </c>
    </row>
    <row r="75">
      <c r="A75" s="5">
        <v>45570.0</v>
      </c>
      <c r="G75" s="9"/>
      <c r="H75" s="8"/>
    </row>
    <row r="76">
      <c r="A76" s="5">
        <v>45570.0</v>
      </c>
      <c r="B76" s="6">
        <v>1.0</v>
      </c>
      <c r="C76" s="6" t="s">
        <v>11</v>
      </c>
      <c r="D76" s="6">
        <v>24.0</v>
      </c>
      <c r="E76" s="10">
        <f>53.02+180</f>
        <v>233.02</v>
      </c>
      <c r="F76" s="6">
        <v>1.0</v>
      </c>
      <c r="G76" s="9">
        <v>60.053</v>
      </c>
      <c r="H76" s="8">
        <v>24.2</v>
      </c>
      <c r="I76" s="6">
        <v>2178.2</v>
      </c>
    </row>
    <row r="77">
      <c r="A77" s="5">
        <v>45570.0</v>
      </c>
      <c r="B77" s="6">
        <v>1.0</v>
      </c>
      <c r="C77" s="6" t="s">
        <v>11</v>
      </c>
      <c r="D77" s="6">
        <v>24.0</v>
      </c>
      <c r="F77" s="6">
        <v>2.0</v>
      </c>
      <c r="G77" s="9">
        <v>60.042</v>
      </c>
      <c r="H77" s="8"/>
      <c r="I77" s="6">
        <v>2187.0</v>
      </c>
    </row>
    <row r="78">
      <c r="A78" s="5">
        <v>45570.0</v>
      </c>
      <c r="B78" s="6">
        <v>1.0</v>
      </c>
      <c r="C78" s="6" t="s">
        <v>11</v>
      </c>
      <c r="D78" s="6">
        <v>24.0</v>
      </c>
      <c r="F78" s="6">
        <v>3.0</v>
      </c>
      <c r="G78" s="9">
        <v>60.025</v>
      </c>
      <c r="H78" s="8">
        <v>23.7</v>
      </c>
      <c r="I78" s="6">
        <v>2179.8</v>
      </c>
      <c r="J78" s="10">
        <f>Average(I76,I78)</f>
        <v>2179</v>
      </c>
    </row>
    <row r="79">
      <c r="A79" s="5">
        <v>45570.0</v>
      </c>
      <c r="B79" s="6">
        <v>1.0</v>
      </c>
      <c r="C79" s="6" t="s">
        <v>11</v>
      </c>
      <c r="D79" s="6">
        <v>25.0</v>
      </c>
      <c r="E79" s="10">
        <f>61.142+180</f>
        <v>241.142</v>
      </c>
      <c r="F79" s="6">
        <v>1.0</v>
      </c>
      <c r="G79" s="9">
        <v>60.042</v>
      </c>
      <c r="H79" s="8">
        <v>23.8</v>
      </c>
      <c r="I79" s="6">
        <v>2183.4</v>
      </c>
    </row>
    <row r="80">
      <c r="A80" s="5">
        <v>45570.0</v>
      </c>
      <c r="B80" s="6">
        <v>1.0</v>
      </c>
      <c r="C80" s="6" t="s">
        <v>11</v>
      </c>
      <c r="D80" s="6">
        <v>25.0</v>
      </c>
      <c r="F80" s="6">
        <v>2.0</v>
      </c>
      <c r="G80" s="9">
        <v>60.048</v>
      </c>
      <c r="H80" s="8">
        <v>23.7</v>
      </c>
      <c r="I80" s="6">
        <v>2174.0</v>
      </c>
    </row>
    <row r="81">
      <c r="A81" s="5">
        <v>45570.0</v>
      </c>
      <c r="B81" s="6">
        <v>1.0</v>
      </c>
      <c r="C81" s="6" t="s">
        <v>11</v>
      </c>
      <c r="D81" s="6">
        <v>25.0</v>
      </c>
      <c r="F81" s="6">
        <v>3.0</v>
      </c>
      <c r="G81" s="9">
        <v>60.057</v>
      </c>
      <c r="H81" s="8">
        <v>23.5</v>
      </c>
      <c r="I81" s="6">
        <v>2179.2</v>
      </c>
      <c r="J81" s="10">
        <f>Average(I81,I79)</f>
        <v>2181.3</v>
      </c>
    </row>
    <row r="82">
      <c r="A82" s="5">
        <v>45570.0</v>
      </c>
      <c r="B82" s="6">
        <v>1.0</v>
      </c>
      <c r="C82" s="6" t="s">
        <v>11</v>
      </c>
      <c r="D82" s="6">
        <v>26.0</v>
      </c>
      <c r="E82" s="10">
        <f>47.08+180</f>
        <v>227.08</v>
      </c>
      <c r="F82" s="6">
        <v>1.0</v>
      </c>
      <c r="G82" s="9">
        <v>60.065</v>
      </c>
      <c r="H82" s="8"/>
      <c r="I82" s="6">
        <v>2193.3</v>
      </c>
    </row>
    <row r="83">
      <c r="A83" s="5">
        <v>45570.0</v>
      </c>
      <c r="B83" s="6">
        <v>1.0</v>
      </c>
      <c r="C83" s="6" t="s">
        <v>11</v>
      </c>
      <c r="D83" s="6">
        <v>26.0</v>
      </c>
      <c r="F83" s="6">
        <v>2.0</v>
      </c>
      <c r="G83" s="9">
        <v>60.034</v>
      </c>
      <c r="H83" s="8">
        <v>23.7</v>
      </c>
      <c r="I83" s="6">
        <v>2191.8</v>
      </c>
      <c r="J83" s="10">
        <f>Average(I82:I83)</f>
        <v>2192.55</v>
      </c>
    </row>
    <row r="84">
      <c r="A84" s="5">
        <v>45570.0</v>
      </c>
      <c r="G84" s="9"/>
      <c r="H84" s="8"/>
    </row>
    <row r="85">
      <c r="A85" s="5">
        <v>45570.0</v>
      </c>
      <c r="B85" s="6">
        <v>2.0</v>
      </c>
      <c r="C85" s="6" t="s">
        <v>11</v>
      </c>
      <c r="D85" s="1">
        <v>27.0</v>
      </c>
      <c r="F85" s="6">
        <v>1.0</v>
      </c>
      <c r="G85" s="9">
        <v>60.042</v>
      </c>
      <c r="H85" s="8">
        <v>23.9</v>
      </c>
      <c r="I85" s="6">
        <v>2183.5</v>
      </c>
    </row>
    <row r="86">
      <c r="A86" s="5">
        <v>45570.0</v>
      </c>
      <c r="B86" s="6">
        <v>2.0</v>
      </c>
      <c r="C86" s="6" t="s">
        <v>11</v>
      </c>
      <c r="D86" s="1">
        <v>27.0</v>
      </c>
      <c r="F86" s="6">
        <v>2.0</v>
      </c>
      <c r="G86" s="9">
        <v>60.013</v>
      </c>
      <c r="H86" s="8">
        <v>23.8</v>
      </c>
      <c r="I86" s="6">
        <v>2185.0</v>
      </c>
      <c r="J86" s="10">
        <f>Average(I85:I86)</f>
        <v>2184.25</v>
      </c>
    </row>
    <row r="87">
      <c r="A87" s="5">
        <v>45570.0</v>
      </c>
      <c r="D87" s="1"/>
      <c r="G87" s="9"/>
      <c r="H87" s="8"/>
    </row>
    <row r="88">
      <c r="A88" s="5">
        <v>45570.0</v>
      </c>
      <c r="B88" s="6">
        <v>2.0</v>
      </c>
      <c r="C88" s="6" t="s">
        <v>11</v>
      </c>
      <c r="D88" s="6">
        <v>28.0</v>
      </c>
      <c r="E88" s="10">
        <f>63.868+180</f>
        <v>243.868</v>
      </c>
      <c r="F88" s="6">
        <v>1.0</v>
      </c>
      <c r="G88" s="9">
        <v>60.025</v>
      </c>
      <c r="H88" s="8">
        <v>24.0</v>
      </c>
      <c r="I88" s="6">
        <v>2129.9</v>
      </c>
    </row>
    <row r="89">
      <c r="A89" s="5">
        <v>45570.0</v>
      </c>
      <c r="B89" s="6">
        <v>2.0</v>
      </c>
      <c r="C89" s="6" t="s">
        <v>11</v>
      </c>
      <c r="D89" s="6">
        <v>28.0</v>
      </c>
      <c r="F89" s="6">
        <v>2.0</v>
      </c>
      <c r="G89" s="9">
        <v>60.084</v>
      </c>
      <c r="H89" s="8">
        <v>23.8</v>
      </c>
      <c r="I89" s="6">
        <v>2126.9</v>
      </c>
    </row>
    <row r="90">
      <c r="A90" s="5">
        <v>45570.0</v>
      </c>
      <c r="B90" s="6">
        <v>2.0</v>
      </c>
      <c r="C90" s="6" t="s">
        <v>11</v>
      </c>
      <c r="D90" s="6">
        <v>28.0</v>
      </c>
      <c r="F90" s="6">
        <v>3.0</v>
      </c>
      <c r="G90" s="9">
        <v>60.03</v>
      </c>
      <c r="H90" s="8">
        <v>23.6</v>
      </c>
      <c r="I90" s="6">
        <v>2127.6</v>
      </c>
      <c r="J90" s="10">
        <f>Average(I89:I90)</f>
        <v>2127.25</v>
      </c>
    </row>
    <row r="91">
      <c r="A91" s="5">
        <v>45570.0</v>
      </c>
      <c r="B91" s="6">
        <v>2.0</v>
      </c>
      <c r="C91" s="6" t="s">
        <v>11</v>
      </c>
      <c r="D91" s="12">
        <v>29.0</v>
      </c>
      <c r="E91" s="10">
        <f>57.088+180</f>
        <v>237.088</v>
      </c>
      <c r="F91" s="6">
        <v>1.0</v>
      </c>
      <c r="G91" s="9">
        <v>60.016</v>
      </c>
      <c r="H91" s="8">
        <v>23.6</v>
      </c>
      <c r="I91" s="6">
        <v>2190.8</v>
      </c>
    </row>
    <row r="92">
      <c r="A92" s="5">
        <v>45570.0</v>
      </c>
      <c r="B92" s="6">
        <v>2.0</v>
      </c>
      <c r="C92" s="6" t="s">
        <v>11</v>
      </c>
      <c r="D92" s="12">
        <v>29.0</v>
      </c>
      <c r="F92" s="6">
        <v>2.0</v>
      </c>
      <c r="G92" s="9">
        <v>60.013</v>
      </c>
      <c r="H92" s="8">
        <v>23.7</v>
      </c>
      <c r="I92" s="6">
        <v>2167.4</v>
      </c>
    </row>
    <row r="93">
      <c r="A93" s="5">
        <v>45570.0</v>
      </c>
      <c r="B93" s="6">
        <v>2.0</v>
      </c>
      <c r="C93" s="6" t="s">
        <v>11</v>
      </c>
      <c r="D93" s="12">
        <v>29.0</v>
      </c>
      <c r="F93" s="6">
        <v>3.0</v>
      </c>
      <c r="G93" s="9">
        <v>60.038</v>
      </c>
      <c r="H93" s="8">
        <v>23.5</v>
      </c>
      <c r="I93" s="6">
        <v>2175.9</v>
      </c>
      <c r="J93" s="10">
        <f>Average(I92:I93)</f>
        <v>2171.65</v>
      </c>
    </row>
    <row r="94">
      <c r="A94" s="5">
        <v>45570.0</v>
      </c>
      <c r="B94" s="6">
        <v>2.0</v>
      </c>
      <c r="C94" s="6" t="s">
        <v>11</v>
      </c>
      <c r="D94" s="12">
        <v>30.0</v>
      </c>
      <c r="E94" s="10">
        <f>58.269+180</f>
        <v>238.269</v>
      </c>
      <c r="F94" s="6">
        <v>1.0</v>
      </c>
      <c r="G94" s="9">
        <v>60.048</v>
      </c>
      <c r="H94" s="8">
        <v>23.9</v>
      </c>
      <c r="I94" s="6">
        <v>2185.1</v>
      </c>
    </row>
    <row r="95">
      <c r="A95" s="5">
        <v>45570.0</v>
      </c>
      <c r="B95" s="6">
        <v>2.0</v>
      </c>
      <c r="C95" s="6" t="s">
        <v>11</v>
      </c>
      <c r="D95" s="12">
        <v>30.0</v>
      </c>
      <c r="F95" s="6">
        <v>2.0</v>
      </c>
      <c r="G95" s="9">
        <v>60.018</v>
      </c>
      <c r="H95" s="8">
        <v>24.0</v>
      </c>
      <c r="I95" s="6">
        <v>2185.7</v>
      </c>
      <c r="J95" s="10">
        <f>Average(I94:I95)</f>
        <v>2185.4</v>
      </c>
    </row>
    <row r="96">
      <c r="A96" s="5">
        <v>45570.0</v>
      </c>
      <c r="D96" s="12"/>
      <c r="G96" s="9"/>
      <c r="H96" s="8"/>
    </row>
    <row r="97">
      <c r="A97" s="5">
        <v>45570.0</v>
      </c>
      <c r="B97" s="6">
        <v>2.0</v>
      </c>
      <c r="C97" s="6" t="s">
        <v>11</v>
      </c>
      <c r="D97" s="12">
        <v>31.0</v>
      </c>
      <c r="E97" s="10">
        <f>63.478+180</f>
        <v>243.478</v>
      </c>
      <c r="F97" s="6">
        <v>1.0</v>
      </c>
      <c r="G97" s="9">
        <v>60.035</v>
      </c>
      <c r="H97" s="8">
        <v>24.2</v>
      </c>
      <c r="I97" s="6">
        <v>2135.3</v>
      </c>
    </row>
    <row r="98">
      <c r="A98" s="5">
        <v>45570.0</v>
      </c>
      <c r="B98" s="6">
        <v>2.0</v>
      </c>
      <c r="C98" s="6" t="s">
        <v>11</v>
      </c>
      <c r="D98" s="12">
        <v>31.0</v>
      </c>
      <c r="F98" s="6">
        <v>2.0</v>
      </c>
      <c r="G98" s="9">
        <v>60.028</v>
      </c>
      <c r="H98" s="8">
        <v>24.3</v>
      </c>
      <c r="I98" s="6">
        <v>2131.0</v>
      </c>
    </row>
    <row r="99">
      <c r="A99" s="5">
        <v>45570.0</v>
      </c>
      <c r="B99" s="6">
        <v>2.0</v>
      </c>
      <c r="C99" s="6" t="s">
        <v>11</v>
      </c>
      <c r="D99" s="12">
        <v>31.0</v>
      </c>
      <c r="F99" s="6">
        <v>3.0</v>
      </c>
      <c r="G99" s="9">
        <v>60.053</v>
      </c>
      <c r="H99" s="8"/>
      <c r="I99" s="6">
        <v>2133.5</v>
      </c>
      <c r="J99" s="10">
        <f>Average(I98:I99)</f>
        <v>2132.25</v>
      </c>
    </row>
    <row r="100">
      <c r="A100" s="5">
        <v>45570.0</v>
      </c>
      <c r="B100" s="6">
        <v>2.0</v>
      </c>
      <c r="C100" s="6" t="s">
        <v>11</v>
      </c>
      <c r="D100" s="12">
        <v>32.0</v>
      </c>
      <c r="E100" s="10">
        <f>59.073+180</f>
        <v>239.073</v>
      </c>
      <c r="F100" s="6">
        <v>1.0</v>
      </c>
      <c r="G100" s="9">
        <v>60.024</v>
      </c>
      <c r="H100" s="8"/>
      <c r="I100" s="6">
        <v>2168.3</v>
      </c>
    </row>
    <row r="101">
      <c r="A101" s="5">
        <v>45570.0</v>
      </c>
      <c r="B101" s="6">
        <v>2.0</v>
      </c>
      <c r="C101" s="6" t="s">
        <v>14</v>
      </c>
      <c r="D101" s="12">
        <v>32.0</v>
      </c>
      <c r="F101" s="6">
        <v>2.0</v>
      </c>
      <c r="G101" s="9">
        <v>60.025</v>
      </c>
      <c r="H101" s="8">
        <v>24.6</v>
      </c>
      <c r="I101" s="6">
        <v>2128.0</v>
      </c>
    </row>
    <row r="102">
      <c r="A102" s="5">
        <v>45570.0</v>
      </c>
      <c r="B102" s="6">
        <v>2.0</v>
      </c>
      <c r="C102" s="6" t="s">
        <v>14</v>
      </c>
      <c r="D102" s="12">
        <v>32.0</v>
      </c>
      <c r="F102" s="6">
        <v>3.0</v>
      </c>
      <c r="G102" s="9">
        <v>60.019</v>
      </c>
      <c r="H102" s="8">
        <v>24.6</v>
      </c>
      <c r="I102" s="6">
        <v>2133.3</v>
      </c>
      <c r="J102" s="10">
        <f>Average(I101:I102)</f>
        <v>2130.65</v>
      </c>
    </row>
    <row r="103">
      <c r="A103" s="5">
        <v>45570.0</v>
      </c>
      <c r="B103" s="6">
        <v>2.0</v>
      </c>
      <c r="C103" s="6" t="s">
        <v>11</v>
      </c>
      <c r="D103" s="12">
        <v>33.0</v>
      </c>
      <c r="E103" s="10">
        <f>57.56+180</f>
        <v>237.56</v>
      </c>
      <c r="F103" s="6">
        <v>1.0</v>
      </c>
      <c r="G103" s="9">
        <v>60.019</v>
      </c>
      <c r="H103" s="8">
        <v>24.5</v>
      </c>
      <c r="I103" s="6">
        <v>2135.7</v>
      </c>
    </row>
    <row r="104">
      <c r="A104" s="5">
        <v>45570.0</v>
      </c>
      <c r="B104" s="6">
        <v>2.0</v>
      </c>
      <c r="C104" s="6" t="s">
        <v>14</v>
      </c>
      <c r="D104" s="12">
        <v>33.0</v>
      </c>
      <c r="F104" s="6">
        <v>2.0</v>
      </c>
      <c r="G104" s="9">
        <v>60.044</v>
      </c>
      <c r="H104" s="8">
        <v>24.8</v>
      </c>
      <c r="I104" s="6">
        <v>2112.8</v>
      </c>
    </row>
    <row r="105">
      <c r="A105" s="5">
        <v>45570.0</v>
      </c>
      <c r="B105" s="6">
        <v>2.0</v>
      </c>
      <c r="C105" s="6" t="s">
        <v>14</v>
      </c>
      <c r="D105" s="12">
        <v>33.0</v>
      </c>
      <c r="F105" s="6">
        <v>3.0</v>
      </c>
      <c r="G105" s="9">
        <v>60.04</v>
      </c>
      <c r="H105" s="8">
        <v>24.9</v>
      </c>
      <c r="I105" s="6">
        <v>2107.2</v>
      </c>
      <c r="J105" s="10">
        <f>Average(I104:I105)</f>
        <v>2110</v>
      </c>
    </row>
    <row r="106">
      <c r="A106" s="5">
        <v>45570.0</v>
      </c>
      <c r="B106" s="6">
        <v>2.0</v>
      </c>
      <c r="C106" s="6" t="s">
        <v>11</v>
      </c>
      <c r="D106" s="12">
        <v>34.0</v>
      </c>
      <c r="E106" s="10">
        <f>49.694+180</f>
        <v>229.694</v>
      </c>
      <c r="F106" s="6">
        <v>1.0</v>
      </c>
      <c r="G106" s="9">
        <v>60.056</v>
      </c>
      <c r="H106" s="8">
        <v>24.6</v>
      </c>
      <c r="I106" s="6">
        <v>2113.7</v>
      </c>
    </row>
    <row r="107">
      <c r="A107" s="5">
        <v>45570.0</v>
      </c>
      <c r="B107" s="6">
        <v>2.0</v>
      </c>
      <c r="C107" s="6" t="s">
        <v>11</v>
      </c>
      <c r="D107" s="12">
        <v>34.0</v>
      </c>
      <c r="F107" s="6">
        <v>2.0</v>
      </c>
      <c r="G107" s="9">
        <v>60.016</v>
      </c>
      <c r="H107" s="8">
        <v>24.7</v>
      </c>
      <c r="I107" s="6">
        <v>2111.9</v>
      </c>
      <c r="J107" s="10">
        <f>Average(I106:I107)</f>
        <v>2112.8</v>
      </c>
    </row>
    <row r="108">
      <c r="A108" s="5">
        <v>45570.0</v>
      </c>
      <c r="D108" s="12"/>
      <c r="G108" s="9"/>
      <c r="H108" s="8"/>
    </row>
    <row r="109">
      <c r="A109" s="5">
        <v>45570.0</v>
      </c>
      <c r="B109" s="6">
        <v>2.0</v>
      </c>
      <c r="C109" s="6" t="s">
        <v>11</v>
      </c>
      <c r="D109" s="12">
        <v>35.0</v>
      </c>
      <c r="E109" s="10">
        <f>65.165+180</f>
        <v>245.165</v>
      </c>
      <c r="F109" s="6">
        <v>1.0</v>
      </c>
      <c r="G109" s="9">
        <v>60.008</v>
      </c>
      <c r="H109" s="8">
        <v>24.9</v>
      </c>
      <c r="I109" s="6">
        <v>2185.4</v>
      </c>
    </row>
    <row r="110">
      <c r="A110" s="5">
        <v>45570.0</v>
      </c>
      <c r="B110" s="6">
        <v>2.0</v>
      </c>
      <c r="C110" s="6" t="s">
        <v>14</v>
      </c>
      <c r="D110" s="12">
        <v>35.0</v>
      </c>
      <c r="F110" s="6">
        <v>2.0</v>
      </c>
      <c r="G110" s="9">
        <v>60.052</v>
      </c>
      <c r="H110" s="8">
        <v>25.0</v>
      </c>
      <c r="I110" s="6">
        <v>2159.5</v>
      </c>
    </row>
    <row r="111">
      <c r="A111" s="5">
        <v>45570.0</v>
      </c>
      <c r="B111" s="6">
        <v>2.0</v>
      </c>
      <c r="C111" s="6" t="s">
        <v>14</v>
      </c>
      <c r="D111" s="12">
        <v>35.0</v>
      </c>
      <c r="F111" s="6">
        <v>3.0</v>
      </c>
      <c r="G111" s="9">
        <v>60.031</v>
      </c>
      <c r="H111" s="8">
        <v>25.2</v>
      </c>
      <c r="I111" s="6">
        <v>2164.7</v>
      </c>
      <c r="J111" s="10">
        <f>Average(I110:I111)</f>
        <v>2162.1</v>
      </c>
    </row>
    <row r="112">
      <c r="A112" s="5">
        <v>45570.0</v>
      </c>
      <c r="B112" s="6">
        <v>2.0</v>
      </c>
      <c r="C112" s="6" t="s">
        <v>14</v>
      </c>
      <c r="D112" s="12">
        <v>36.0</v>
      </c>
      <c r="E112" s="10">
        <f>59.799+180</f>
        <v>239.799</v>
      </c>
      <c r="F112" s="6">
        <v>1.0</v>
      </c>
      <c r="G112" s="9">
        <v>60.036</v>
      </c>
      <c r="H112" s="8">
        <v>25.2</v>
      </c>
      <c r="I112" s="6">
        <v>2104.2</v>
      </c>
    </row>
    <row r="113">
      <c r="A113" s="5">
        <v>45570.0</v>
      </c>
      <c r="B113" s="6">
        <v>2.0</v>
      </c>
      <c r="C113" s="6" t="s">
        <v>11</v>
      </c>
      <c r="D113" s="12">
        <v>36.0</v>
      </c>
      <c r="F113" s="6">
        <v>2.0</v>
      </c>
      <c r="G113" s="9">
        <v>60.008</v>
      </c>
      <c r="H113" s="8">
        <v>25.1</v>
      </c>
      <c r="I113" s="6">
        <v>2115.8</v>
      </c>
    </row>
    <row r="114">
      <c r="A114" s="5">
        <v>45570.0</v>
      </c>
      <c r="B114" s="6">
        <v>2.0</v>
      </c>
      <c r="C114" s="6" t="s">
        <v>11</v>
      </c>
      <c r="D114" s="12">
        <v>36.0</v>
      </c>
      <c r="F114" s="6">
        <v>3.0</v>
      </c>
      <c r="G114" s="9">
        <v>60.047</v>
      </c>
      <c r="H114" s="8">
        <v>25.0</v>
      </c>
      <c r="I114" s="6">
        <v>2125.4</v>
      </c>
      <c r="J114" s="10">
        <f>Average(I113:I114)</f>
        <v>2120.6</v>
      </c>
    </row>
    <row r="115">
      <c r="A115" s="5">
        <v>45570.0</v>
      </c>
      <c r="B115" s="6">
        <v>2.0</v>
      </c>
      <c r="C115" s="6" t="s">
        <v>11</v>
      </c>
      <c r="D115" s="12">
        <v>37.0</v>
      </c>
      <c r="E115" s="10">
        <f>59.186+180</f>
        <v>239.186</v>
      </c>
      <c r="F115" s="6">
        <v>1.0</v>
      </c>
      <c r="G115" s="9">
        <v>60.029</v>
      </c>
      <c r="H115" s="8">
        <v>25.0</v>
      </c>
      <c r="I115" s="6">
        <v>2157.1</v>
      </c>
    </row>
    <row r="116">
      <c r="A116" s="5">
        <v>45570.0</v>
      </c>
      <c r="B116" s="6">
        <v>2.0</v>
      </c>
      <c r="C116" s="6" t="s">
        <v>14</v>
      </c>
      <c r="D116" s="12">
        <v>37.0</v>
      </c>
      <c r="F116" s="6">
        <v>2.0</v>
      </c>
      <c r="G116" s="9">
        <v>60.095</v>
      </c>
      <c r="H116" s="8">
        <v>25.1</v>
      </c>
      <c r="I116" s="6">
        <v>2130.4</v>
      </c>
    </row>
    <row r="117">
      <c r="A117" s="5">
        <v>45570.0</v>
      </c>
      <c r="B117" s="6">
        <v>2.0</v>
      </c>
      <c r="C117" s="6" t="s">
        <v>11</v>
      </c>
      <c r="D117" s="12">
        <v>37.0</v>
      </c>
      <c r="F117" s="6">
        <v>3.0</v>
      </c>
      <c r="G117" s="9">
        <v>60.025</v>
      </c>
      <c r="H117" s="8">
        <v>25.1</v>
      </c>
      <c r="I117" s="6">
        <v>2157.3</v>
      </c>
      <c r="J117" s="10">
        <f>Average(I115,I117)</f>
        <v>2157.2</v>
      </c>
    </row>
    <row r="118">
      <c r="A118" s="5">
        <v>45570.0</v>
      </c>
      <c r="B118" s="6">
        <v>2.0</v>
      </c>
      <c r="C118" s="6" t="s">
        <v>11</v>
      </c>
      <c r="D118" s="12">
        <v>38.0</v>
      </c>
      <c r="E118" s="6">
        <f>60.078+180</f>
        <v>240.078</v>
      </c>
      <c r="F118" s="6">
        <v>1.0</v>
      </c>
      <c r="G118" s="9">
        <v>60.033</v>
      </c>
      <c r="H118" s="8">
        <v>25.0</v>
      </c>
      <c r="I118" s="6">
        <v>2134.9</v>
      </c>
    </row>
    <row r="119">
      <c r="A119" s="5">
        <v>45570.0</v>
      </c>
      <c r="B119" s="6">
        <v>2.0</v>
      </c>
      <c r="C119" s="6" t="s">
        <v>14</v>
      </c>
      <c r="D119" s="12">
        <v>38.0</v>
      </c>
      <c r="F119" s="6">
        <v>2.0</v>
      </c>
      <c r="G119" s="9">
        <v>60.036</v>
      </c>
      <c r="H119" s="8">
        <v>25.1</v>
      </c>
      <c r="I119" s="6">
        <v>2104.4</v>
      </c>
    </row>
    <row r="120">
      <c r="A120" s="5">
        <v>45570.0</v>
      </c>
      <c r="B120" s="6">
        <v>2.0</v>
      </c>
      <c r="C120" s="6" t="s">
        <v>14</v>
      </c>
      <c r="D120" s="12">
        <v>38.0</v>
      </c>
      <c r="F120" s="6">
        <v>3.0</v>
      </c>
      <c r="G120" s="9">
        <v>60.065</v>
      </c>
      <c r="H120" s="8">
        <v>25.2</v>
      </c>
      <c r="I120" s="6">
        <v>2108.5</v>
      </c>
      <c r="J120" s="10">
        <f>Average(I119:I120)</f>
        <v>2106.45</v>
      </c>
    </row>
    <row r="121">
      <c r="A121" s="5">
        <v>45570.0</v>
      </c>
      <c r="B121" s="6">
        <v>2.0</v>
      </c>
      <c r="C121" s="6" t="s">
        <v>11</v>
      </c>
      <c r="D121" s="12">
        <v>39.0</v>
      </c>
      <c r="E121" s="10">
        <f>47.475+180</f>
        <v>227.475</v>
      </c>
      <c r="F121" s="6">
        <v>1.0</v>
      </c>
      <c r="G121" s="9">
        <v>60.01</v>
      </c>
      <c r="H121" s="8">
        <v>25.0</v>
      </c>
      <c r="I121" s="6">
        <v>2187.4</v>
      </c>
    </row>
    <row r="122">
      <c r="A122" s="5">
        <v>45570.0</v>
      </c>
      <c r="B122" s="6">
        <v>2.0</v>
      </c>
      <c r="C122" s="6" t="s">
        <v>11</v>
      </c>
      <c r="D122" s="12">
        <v>39.0</v>
      </c>
      <c r="F122" s="6">
        <v>2.0</v>
      </c>
      <c r="G122" s="9">
        <v>60.051</v>
      </c>
      <c r="H122" s="8">
        <v>25.0</v>
      </c>
      <c r="I122" s="6">
        <v>2195.1</v>
      </c>
    </row>
    <row r="123">
      <c r="A123" s="5">
        <v>45570.0</v>
      </c>
      <c r="B123" s="6">
        <v>2.0</v>
      </c>
      <c r="C123" s="6" t="s">
        <v>11</v>
      </c>
      <c r="D123" s="12">
        <v>39.0</v>
      </c>
      <c r="F123" s="6">
        <v>3.0</v>
      </c>
      <c r="G123" s="9">
        <v>60.03</v>
      </c>
      <c r="H123" s="8">
        <v>25.1</v>
      </c>
      <c r="I123" s="6">
        <v>2186.2</v>
      </c>
      <c r="J123" s="10">
        <f>Average(I121,I123)</f>
        <v>2186.8</v>
      </c>
    </row>
    <row r="124">
      <c r="A124" s="5">
        <v>45570.0</v>
      </c>
      <c r="B124" s="6">
        <v>2.0</v>
      </c>
      <c r="C124" s="6" t="s">
        <v>14</v>
      </c>
      <c r="D124" s="13">
        <v>40.0</v>
      </c>
      <c r="F124" s="6">
        <v>1.0</v>
      </c>
      <c r="G124" s="9">
        <v>60.011</v>
      </c>
      <c r="H124" s="8">
        <v>25.3</v>
      </c>
      <c r="I124" s="6">
        <v>2150.1</v>
      </c>
    </row>
    <row r="125">
      <c r="A125" s="5">
        <v>45570.0</v>
      </c>
      <c r="B125" s="6">
        <v>2.0</v>
      </c>
      <c r="C125" s="6" t="s">
        <v>11</v>
      </c>
      <c r="D125" s="13">
        <v>40.0</v>
      </c>
      <c r="F125" s="6">
        <v>2.0</v>
      </c>
      <c r="G125" s="9">
        <v>60.005</v>
      </c>
      <c r="H125" s="8">
        <v>25.3</v>
      </c>
      <c r="I125" s="6">
        <v>2179.5</v>
      </c>
    </row>
    <row r="126">
      <c r="A126" s="5">
        <v>45570.0</v>
      </c>
      <c r="B126" s="6">
        <v>2.0</v>
      </c>
      <c r="C126" s="6" t="s">
        <v>14</v>
      </c>
      <c r="D126" s="13">
        <v>40.0</v>
      </c>
      <c r="F126" s="6">
        <v>3.0</v>
      </c>
      <c r="G126" s="9">
        <v>60.005</v>
      </c>
      <c r="H126" s="8">
        <v>25.1</v>
      </c>
      <c r="I126" s="6">
        <v>2146.2</v>
      </c>
      <c r="J126" s="10">
        <f>Average(I126,I124)</f>
        <v>2148.15</v>
      </c>
    </row>
    <row r="127">
      <c r="A127" s="5">
        <v>45570.0</v>
      </c>
      <c r="B127" s="6">
        <v>2.0</v>
      </c>
      <c r="C127" s="6" t="s">
        <v>11</v>
      </c>
      <c r="D127" s="14">
        <v>41.0</v>
      </c>
      <c r="E127" s="10">
        <f>65.74+180</f>
        <v>245.74</v>
      </c>
      <c r="F127" s="6">
        <v>1.0</v>
      </c>
      <c r="G127" s="9">
        <v>60.049</v>
      </c>
      <c r="H127" s="8">
        <v>25.2</v>
      </c>
      <c r="I127" s="6">
        <v>2165.7</v>
      </c>
    </row>
    <row r="128">
      <c r="A128" s="5">
        <v>45570.0</v>
      </c>
      <c r="B128" s="6">
        <v>2.0</v>
      </c>
      <c r="C128" s="6" t="s">
        <v>14</v>
      </c>
      <c r="D128" s="6">
        <v>41.0</v>
      </c>
      <c r="F128" s="6">
        <v>2.0</v>
      </c>
      <c r="G128" s="9">
        <v>60.024</v>
      </c>
      <c r="H128" s="8">
        <v>25.4</v>
      </c>
      <c r="I128" s="6">
        <v>2142.3</v>
      </c>
    </row>
    <row r="129">
      <c r="A129" s="5">
        <v>45570.0</v>
      </c>
      <c r="B129" s="6">
        <v>2.0</v>
      </c>
      <c r="C129" s="6" t="s">
        <v>11</v>
      </c>
      <c r="D129" s="6">
        <v>41.0</v>
      </c>
      <c r="F129" s="6">
        <v>3.0</v>
      </c>
      <c r="G129" s="9">
        <v>60.067</v>
      </c>
      <c r="H129" s="8">
        <v>25.2</v>
      </c>
      <c r="I129" s="6">
        <v>2163.4</v>
      </c>
      <c r="J129" s="10">
        <f>Average(I129,I127)</f>
        <v>2164.55</v>
      </c>
    </row>
    <row r="130">
      <c r="A130" s="5">
        <v>45570.0</v>
      </c>
      <c r="B130" s="6">
        <v>2.0</v>
      </c>
      <c r="C130" s="6" t="s">
        <v>11</v>
      </c>
      <c r="D130" s="6">
        <v>42.0</v>
      </c>
      <c r="E130" s="10">
        <f>63.41+180</f>
        <v>243.41</v>
      </c>
      <c r="F130" s="6">
        <v>1.0</v>
      </c>
      <c r="G130" s="9">
        <v>60.033</v>
      </c>
      <c r="H130" s="8">
        <v>25.2</v>
      </c>
      <c r="I130" s="6">
        <v>2180.9</v>
      </c>
    </row>
    <row r="131">
      <c r="A131" s="5">
        <v>45570.0</v>
      </c>
      <c r="B131" s="6">
        <v>2.0</v>
      </c>
      <c r="C131" s="6" t="s">
        <v>14</v>
      </c>
      <c r="D131" s="6">
        <v>42.0</v>
      </c>
      <c r="F131" s="6">
        <v>2.0</v>
      </c>
      <c r="G131" s="9">
        <v>60.05</v>
      </c>
      <c r="H131" s="8">
        <v>25.4</v>
      </c>
      <c r="I131" s="6">
        <v>2157.7</v>
      </c>
    </row>
    <row r="132">
      <c r="A132" s="5">
        <v>45570.0</v>
      </c>
      <c r="B132" s="6">
        <v>2.0</v>
      </c>
      <c r="C132" s="6" t="s">
        <v>14</v>
      </c>
      <c r="D132" s="6">
        <v>42.0</v>
      </c>
      <c r="F132" s="6">
        <v>3.0</v>
      </c>
      <c r="G132" s="9">
        <v>60.06</v>
      </c>
      <c r="H132" s="8">
        <v>25.4</v>
      </c>
      <c r="I132" s="6">
        <v>2157.5</v>
      </c>
      <c r="J132" s="10">
        <f>Average(I131:I132)</f>
        <v>2157.6</v>
      </c>
    </row>
    <row r="133">
      <c r="A133" s="5">
        <v>45570.0</v>
      </c>
      <c r="B133" s="6">
        <v>2.0</v>
      </c>
      <c r="C133" s="6" t="s">
        <v>11</v>
      </c>
      <c r="D133" s="6">
        <v>43.0</v>
      </c>
      <c r="E133" s="10">
        <f>57.69+180</f>
        <v>237.69</v>
      </c>
      <c r="F133" s="6">
        <v>1.0</v>
      </c>
      <c r="G133" s="9">
        <v>60.086</v>
      </c>
      <c r="H133" s="8">
        <v>25.3</v>
      </c>
      <c r="I133" s="6">
        <v>2186.9</v>
      </c>
    </row>
    <row r="134">
      <c r="A134" s="5">
        <v>45570.0</v>
      </c>
      <c r="B134" s="6">
        <v>2.0</v>
      </c>
      <c r="C134" s="6" t="s">
        <v>14</v>
      </c>
      <c r="D134" s="6">
        <v>43.0</v>
      </c>
      <c r="F134" s="6">
        <v>2.0</v>
      </c>
      <c r="G134" s="9">
        <v>60.015</v>
      </c>
      <c r="H134" s="8">
        <v>25.4</v>
      </c>
      <c r="I134" s="6">
        <v>2150.3</v>
      </c>
    </row>
    <row r="135">
      <c r="A135" s="5">
        <v>45570.0</v>
      </c>
      <c r="B135" s="6">
        <v>2.0</v>
      </c>
      <c r="C135" s="6" t="s">
        <v>14</v>
      </c>
      <c r="D135" s="6">
        <v>43.0</v>
      </c>
      <c r="F135" s="6">
        <v>3.0</v>
      </c>
      <c r="G135" s="9">
        <v>60.037</v>
      </c>
      <c r="H135" s="8">
        <v>25.4</v>
      </c>
      <c r="I135" s="6">
        <v>2156.2</v>
      </c>
      <c r="J135" s="10">
        <f>Average(I134:I135)</f>
        <v>2153.25</v>
      </c>
    </row>
    <row r="136">
      <c r="A136" s="5">
        <v>45570.0</v>
      </c>
      <c r="B136" s="6">
        <v>2.0</v>
      </c>
      <c r="C136" s="6" t="s">
        <v>11</v>
      </c>
      <c r="D136" s="6">
        <v>44.0</v>
      </c>
      <c r="E136" s="10">
        <f>64.837+180</f>
        <v>244.837</v>
      </c>
      <c r="F136" s="6">
        <v>1.0</v>
      </c>
      <c r="G136" s="9">
        <v>60.028</v>
      </c>
      <c r="H136" s="8">
        <v>24.5</v>
      </c>
      <c r="I136" s="6">
        <v>2169.0</v>
      </c>
    </row>
    <row r="137">
      <c r="A137" s="5">
        <v>45570.0</v>
      </c>
      <c r="B137" s="6">
        <v>2.0</v>
      </c>
      <c r="C137" s="6" t="s">
        <v>11</v>
      </c>
      <c r="D137" s="6">
        <v>44.0</v>
      </c>
      <c r="F137" s="6">
        <v>2.0</v>
      </c>
      <c r="G137" s="9">
        <v>60.014</v>
      </c>
      <c r="H137" s="8">
        <v>25.3</v>
      </c>
      <c r="I137" s="6">
        <v>2171.9</v>
      </c>
      <c r="J137" s="10">
        <f>Average(I136:I137)</f>
        <v>2170.45</v>
      </c>
    </row>
    <row r="138">
      <c r="A138" s="5">
        <v>45570.0</v>
      </c>
      <c r="B138" s="6">
        <v>2.0</v>
      </c>
      <c r="D138" s="6">
        <v>44.0</v>
      </c>
      <c r="F138" s="6">
        <v>3.0</v>
      </c>
      <c r="G138" s="9">
        <v>60.024</v>
      </c>
      <c r="H138" s="8"/>
    </row>
    <row r="139">
      <c r="A139" s="5">
        <v>45570.0</v>
      </c>
      <c r="B139" s="6">
        <v>2.0</v>
      </c>
      <c r="C139" s="6" t="s">
        <v>11</v>
      </c>
      <c r="D139" s="6">
        <v>45.0</v>
      </c>
      <c r="E139" s="10">
        <f>59.067+180</f>
        <v>239.067</v>
      </c>
      <c r="F139" s="6">
        <v>1.0</v>
      </c>
      <c r="G139" s="9">
        <v>60.053</v>
      </c>
      <c r="H139" s="8">
        <v>25.3</v>
      </c>
      <c r="I139" s="6">
        <v>2175.8</v>
      </c>
    </row>
    <row r="140">
      <c r="A140" s="5">
        <v>45570.0</v>
      </c>
      <c r="B140" s="6">
        <v>2.0</v>
      </c>
      <c r="C140" s="6" t="s">
        <v>14</v>
      </c>
      <c r="D140" s="6">
        <v>45.0</v>
      </c>
      <c r="F140" s="6">
        <v>2.0</v>
      </c>
      <c r="G140" s="9">
        <v>60.077</v>
      </c>
      <c r="H140" s="8">
        <v>25.4</v>
      </c>
      <c r="I140" s="6">
        <v>2145.8</v>
      </c>
    </row>
    <row r="141">
      <c r="A141" s="5">
        <v>45570.0</v>
      </c>
      <c r="B141" s="6">
        <v>2.0</v>
      </c>
      <c r="C141" s="6" t="s">
        <v>11</v>
      </c>
      <c r="D141" s="6">
        <v>45.0</v>
      </c>
      <c r="F141" s="6">
        <v>3.0</v>
      </c>
      <c r="G141" s="9">
        <v>60.035</v>
      </c>
      <c r="H141" s="8">
        <v>25.3</v>
      </c>
      <c r="I141" s="6">
        <v>2177.9</v>
      </c>
      <c r="J141" s="10">
        <f>Average(I139,I141)</f>
        <v>2176.85</v>
      </c>
    </row>
    <row r="142">
      <c r="A142" s="5">
        <v>45570.0</v>
      </c>
      <c r="B142" s="6">
        <v>2.0</v>
      </c>
      <c r="C142" s="6" t="s">
        <v>11</v>
      </c>
      <c r="D142" s="6">
        <v>46.0</v>
      </c>
      <c r="E142" s="10">
        <f>57.081+180</f>
        <v>237.081</v>
      </c>
      <c r="F142" s="6">
        <v>1.0</v>
      </c>
      <c r="G142" s="9">
        <v>60.016</v>
      </c>
      <c r="H142" s="8">
        <v>25.3</v>
      </c>
      <c r="I142" s="6">
        <v>2169.0</v>
      </c>
    </row>
    <row r="143">
      <c r="A143" s="5">
        <v>45570.0</v>
      </c>
      <c r="B143" s="6">
        <v>2.0</v>
      </c>
      <c r="C143" s="6" t="s">
        <v>14</v>
      </c>
      <c r="D143" s="6">
        <v>46.0</v>
      </c>
      <c r="F143" s="6">
        <v>2.0</v>
      </c>
      <c r="G143" s="9">
        <v>60.058</v>
      </c>
      <c r="H143" s="6">
        <v>25.3</v>
      </c>
      <c r="I143" s="6">
        <v>2139.5</v>
      </c>
    </row>
    <row r="144">
      <c r="A144" s="5">
        <v>45570.0</v>
      </c>
      <c r="B144" s="6">
        <v>2.0</v>
      </c>
      <c r="C144" s="6" t="s">
        <v>14</v>
      </c>
      <c r="D144" s="6">
        <v>46.0</v>
      </c>
      <c r="F144" s="6">
        <v>3.0</v>
      </c>
      <c r="G144" s="9">
        <v>60.021</v>
      </c>
      <c r="H144" s="6">
        <v>25.4</v>
      </c>
      <c r="I144" s="6">
        <v>2140.5</v>
      </c>
      <c r="J144" s="10">
        <f>Average(I143:I144)</f>
        <v>2140</v>
      </c>
    </row>
    <row r="145">
      <c r="A145" s="5">
        <v>45570.0</v>
      </c>
      <c r="B145" s="6">
        <v>2.0</v>
      </c>
      <c r="C145" s="6" t="s">
        <v>11</v>
      </c>
      <c r="D145" s="6">
        <v>47.0</v>
      </c>
      <c r="E145" s="10">
        <f>52.619+180</f>
        <v>232.619</v>
      </c>
      <c r="F145" s="6">
        <v>1.0</v>
      </c>
      <c r="G145" s="9">
        <v>60.064</v>
      </c>
      <c r="H145" s="6">
        <v>25.2</v>
      </c>
      <c r="I145" s="6">
        <v>2163.5</v>
      </c>
    </row>
    <row r="146">
      <c r="A146" s="5">
        <v>45570.0</v>
      </c>
      <c r="B146" s="6">
        <v>2.0</v>
      </c>
      <c r="C146" s="6" t="s">
        <v>11</v>
      </c>
      <c r="D146" s="6">
        <v>47.0</v>
      </c>
      <c r="F146" s="6">
        <v>2.0</v>
      </c>
      <c r="G146" s="9">
        <v>60.024</v>
      </c>
      <c r="H146" s="8">
        <v>25.1</v>
      </c>
      <c r="I146" s="6">
        <v>2165.0</v>
      </c>
      <c r="J146" s="10">
        <f>Average(I145:I146)</f>
        <v>2164.25</v>
      </c>
    </row>
    <row r="147">
      <c r="A147" s="5"/>
      <c r="G147" s="9"/>
      <c r="H147" s="8"/>
    </row>
    <row r="148">
      <c r="A148" s="5">
        <v>45570.0</v>
      </c>
      <c r="B148" s="6">
        <v>2.0</v>
      </c>
      <c r="C148" s="6" t="s">
        <v>14</v>
      </c>
      <c r="D148" s="6">
        <v>48.0</v>
      </c>
      <c r="E148" s="10">
        <f>65.206+180</f>
        <v>245.206</v>
      </c>
      <c r="F148" s="6">
        <v>1.0</v>
      </c>
      <c r="G148" s="9">
        <v>60.084</v>
      </c>
      <c r="H148" s="8">
        <v>25.4</v>
      </c>
      <c r="I148" s="6">
        <v>2152.3</v>
      </c>
    </row>
    <row r="149">
      <c r="A149" s="5">
        <v>45570.0</v>
      </c>
      <c r="B149" s="6">
        <v>2.0</v>
      </c>
      <c r="C149" s="6" t="s">
        <v>11</v>
      </c>
      <c r="D149" s="6">
        <v>48.0</v>
      </c>
      <c r="F149" s="6">
        <v>2.0</v>
      </c>
      <c r="G149" s="9">
        <v>60.053</v>
      </c>
      <c r="H149" s="8">
        <v>25.2</v>
      </c>
      <c r="I149" s="6">
        <v>2182.4</v>
      </c>
    </row>
    <row r="150">
      <c r="A150" s="5">
        <v>45570.0</v>
      </c>
      <c r="B150" s="6">
        <v>2.0</v>
      </c>
      <c r="C150" s="6" t="s">
        <v>11</v>
      </c>
      <c r="D150" s="6">
        <v>48.0</v>
      </c>
      <c r="F150" s="6">
        <v>3.0</v>
      </c>
      <c r="G150" s="9">
        <v>60.038</v>
      </c>
      <c r="H150" s="8"/>
      <c r="I150" s="6">
        <v>2180.5</v>
      </c>
      <c r="J150" s="10">
        <f>Average(I149:I150)</f>
        <v>2181.45</v>
      </c>
    </row>
    <row r="151">
      <c r="A151" s="5">
        <v>45570.0</v>
      </c>
      <c r="B151" s="6">
        <v>2.0</v>
      </c>
      <c r="C151" s="6" t="s">
        <v>14</v>
      </c>
      <c r="D151" s="6">
        <v>49.0</v>
      </c>
      <c r="E151" s="10">
        <f>59.966+180</f>
        <v>239.966</v>
      </c>
      <c r="F151" s="6">
        <v>1.0</v>
      </c>
      <c r="G151" s="9">
        <v>60.044</v>
      </c>
      <c r="H151" s="8">
        <v>25.3</v>
      </c>
      <c r="I151" s="6">
        <v>2144.7</v>
      </c>
    </row>
    <row r="152">
      <c r="A152" s="5">
        <v>45570.0</v>
      </c>
      <c r="B152" s="6">
        <v>2.0</v>
      </c>
      <c r="C152" s="6" t="s">
        <v>14</v>
      </c>
      <c r="D152" s="6">
        <v>49.0</v>
      </c>
      <c r="F152" s="6">
        <v>2.0</v>
      </c>
      <c r="G152" s="9">
        <v>60.022</v>
      </c>
      <c r="H152" s="8">
        <v>25.3</v>
      </c>
      <c r="I152" s="6">
        <v>2145.1</v>
      </c>
      <c r="J152" s="10">
        <f>Average(I151:I152)</f>
        <v>2144.9</v>
      </c>
    </row>
    <row r="153">
      <c r="A153" s="5"/>
      <c r="G153" s="9"/>
      <c r="H153" s="8"/>
    </row>
    <row r="154">
      <c r="A154" s="5">
        <v>45570.0</v>
      </c>
      <c r="B154" s="6">
        <v>2.0</v>
      </c>
      <c r="C154" s="6" t="s">
        <v>11</v>
      </c>
      <c r="D154" s="6">
        <v>50.0</v>
      </c>
      <c r="E154" s="10">
        <f>57.843+180</f>
        <v>237.843</v>
      </c>
      <c r="F154" s="6">
        <v>1.0</v>
      </c>
      <c r="G154" s="9">
        <v>60.022</v>
      </c>
      <c r="H154" s="8">
        <v>25.2</v>
      </c>
      <c r="I154" s="6">
        <v>2174.2</v>
      </c>
    </row>
    <row r="155">
      <c r="A155" s="5">
        <v>45570.0</v>
      </c>
      <c r="B155" s="6">
        <v>2.0</v>
      </c>
      <c r="C155" s="6" t="s">
        <v>11</v>
      </c>
      <c r="D155" s="6">
        <v>50.0</v>
      </c>
      <c r="F155" s="6">
        <v>2.0</v>
      </c>
      <c r="G155" s="9">
        <v>60.061</v>
      </c>
      <c r="H155" s="8">
        <v>25.2</v>
      </c>
      <c r="I155" s="6">
        <v>2175.2</v>
      </c>
      <c r="J155" s="10">
        <f>Average(I154:I155)</f>
        <v>2174.7</v>
      </c>
    </row>
    <row r="156">
      <c r="A156" s="5"/>
      <c r="G156" s="9"/>
      <c r="H156" s="8"/>
    </row>
    <row r="157">
      <c r="A157" s="5">
        <v>45570.0</v>
      </c>
      <c r="B157" s="6">
        <v>2.0</v>
      </c>
      <c r="C157" s="6" t="s">
        <v>14</v>
      </c>
      <c r="D157" s="6">
        <v>51.0</v>
      </c>
      <c r="E157" s="10">
        <f>62.408+180</f>
        <v>242.408</v>
      </c>
      <c r="F157" s="6">
        <v>1.0</v>
      </c>
      <c r="G157" s="9">
        <v>60.043</v>
      </c>
      <c r="H157" s="8">
        <v>25.4</v>
      </c>
      <c r="I157" s="6">
        <v>2139.0</v>
      </c>
    </row>
    <row r="158">
      <c r="A158" s="5">
        <v>45570.0</v>
      </c>
      <c r="B158" s="6">
        <v>2.0</v>
      </c>
      <c r="C158" s="6" t="s">
        <v>14</v>
      </c>
      <c r="D158" s="6">
        <v>51.0</v>
      </c>
      <c r="F158" s="6">
        <v>2.0</v>
      </c>
      <c r="G158" s="9">
        <v>60.048</v>
      </c>
      <c r="H158" s="8">
        <v>25.3</v>
      </c>
      <c r="I158" s="6">
        <v>2142.1</v>
      </c>
      <c r="J158" s="10">
        <f>Average(I157:I158)</f>
        <v>2140.55</v>
      </c>
    </row>
    <row r="159">
      <c r="A159" s="5"/>
      <c r="G159" s="9"/>
      <c r="H159" s="8"/>
    </row>
    <row r="160">
      <c r="A160" s="5">
        <v>45570.0</v>
      </c>
      <c r="B160" s="6">
        <v>2.0</v>
      </c>
      <c r="C160" s="6" t="s">
        <v>11</v>
      </c>
      <c r="D160" s="6">
        <v>52.0</v>
      </c>
      <c r="E160" s="10">
        <f>46.371+180</f>
        <v>226.371</v>
      </c>
      <c r="F160" s="6">
        <v>1.0</v>
      </c>
      <c r="G160" s="9">
        <v>60.014</v>
      </c>
      <c r="H160" s="8">
        <v>25.4</v>
      </c>
      <c r="I160" s="6">
        <v>2176.6</v>
      </c>
    </row>
    <row r="161">
      <c r="A161" s="15">
        <v>45570.0</v>
      </c>
      <c r="B161" s="16">
        <v>2.0</v>
      </c>
      <c r="C161" s="16" t="s">
        <v>11</v>
      </c>
      <c r="D161" s="16">
        <v>52.0</v>
      </c>
      <c r="E161" s="17"/>
      <c r="F161" s="16">
        <v>2.0</v>
      </c>
      <c r="G161" s="18">
        <v>60.006</v>
      </c>
      <c r="H161" s="19">
        <v>25.2</v>
      </c>
      <c r="I161" s="16">
        <v>2177.5</v>
      </c>
      <c r="J161" s="17">
        <f>Average(I160:I161)</f>
        <v>2177.05</v>
      </c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>
      <c r="A162" s="5">
        <v>45571.0</v>
      </c>
      <c r="C162" s="6" t="s">
        <v>11</v>
      </c>
      <c r="D162" s="6" t="s">
        <v>12</v>
      </c>
      <c r="F162" s="6">
        <v>1.0</v>
      </c>
      <c r="G162" s="9">
        <v>60.02</v>
      </c>
      <c r="H162" s="8">
        <v>26.5</v>
      </c>
      <c r="I162" s="6">
        <v>2178.5</v>
      </c>
    </row>
    <row r="163">
      <c r="A163" s="5">
        <v>45571.0</v>
      </c>
      <c r="C163" s="6" t="s">
        <v>11</v>
      </c>
      <c r="D163" s="6" t="s">
        <v>12</v>
      </c>
      <c r="F163" s="6">
        <v>2.0</v>
      </c>
      <c r="G163" s="9">
        <v>60.008</v>
      </c>
      <c r="H163" s="8"/>
      <c r="I163" s="6">
        <v>2177.9</v>
      </c>
    </row>
    <row r="164">
      <c r="A164" s="5"/>
      <c r="G164" s="9"/>
      <c r="H164" s="8"/>
    </row>
    <row r="165">
      <c r="A165" s="5">
        <v>45571.0</v>
      </c>
      <c r="C165" s="6" t="s">
        <v>11</v>
      </c>
      <c r="D165" s="6" t="s">
        <v>19</v>
      </c>
      <c r="F165" s="6">
        <v>1.0</v>
      </c>
      <c r="G165" s="9">
        <v>60.056</v>
      </c>
      <c r="H165" s="8">
        <v>25.2</v>
      </c>
      <c r="I165" s="6">
        <v>2335.2</v>
      </c>
      <c r="K165" s="6" t="s">
        <v>20</v>
      </c>
    </row>
    <row r="166">
      <c r="A166" s="5">
        <v>45571.0</v>
      </c>
      <c r="C166" s="6" t="s">
        <v>11</v>
      </c>
      <c r="D166" s="6" t="s">
        <v>21</v>
      </c>
      <c r="F166" s="6">
        <v>2.0</v>
      </c>
      <c r="G166" s="9">
        <v>60.041</v>
      </c>
      <c r="H166" s="8">
        <v>25.2</v>
      </c>
      <c r="I166" s="6">
        <v>2221.4</v>
      </c>
    </row>
    <row r="167">
      <c r="A167" s="5">
        <v>45571.0</v>
      </c>
      <c r="C167" s="6" t="s">
        <v>11</v>
      </c>
      <c r="D167" s="6" t="s">
        <v>21</v>
      </c>
      <c r="F167" s="6">
        <v>3.0</v>
      </c>
      <c r="G167" s="9">
        <v>60.044</v>
      </c>
      <c r="H167" s="8"/>
      <c r="I167" s="6">
        <v>2222.7</v>
      </c>
    </row>
    <row r="168">
      <c r="A168" s="5">
        <v>45571.0</v>
      </c>
      <c r="C168" s="6" t="s">
        <v>11</v>
      </c>
      <c r="D168" s="1">
        <v>1.0</v>
      </c>
      <c r="F168" s="6">
        <v>1.0</v>
      </c>
      <c r="G168" s="9">
        <v>60.015</v>
      </c>
      <c r="H168" s="6">
        <v>26.0</v>
      </c>
      <c r="I168" s="6">
        <v>2190.2</v>
      </c>
    </row>
    <row r="169">
      <c r="A169" s="5">
        <v>45571.0</v>
      </c>
      <c r="C169" s="6" t="s">
        <v>11</v>
      </c>
      <c r="D169" s="1">
        <v>1.0</v>
      </c>
      <c r="F169" s="6">
        <v>2.0</v>
      </c>
      <c r="G169" s="9">
        <v>60.022</v>
      </c>
      <c r="H169" s="8"/>
      <c r="I169" s="6">
        <v>2196.0</v>
      </c>
    </row>
    <row r="170">
      <c r="A170" s="5">
        <v>45571.0</v>
      </c>
      <c r="B170" s="6">
        <v>3.0</v>
      </c>
      <c r="C170" s="6" t="s">
        <v>11</v>
      </c>
      <c r="D170" s="1">
        <v>1.0</v>
      </c>
      <c r="F170" s="6">
        <v>3.0</v>
      </c>
      <c r="G170" s="9">
        <v>60.023</v>
      </c>
      <c r="H170" s="8">
        <v>25.9</v>
      </c>
      <c r="I170" s="6">
        <v>2190.0</v>
      </c>
      <c r="J170" s="10">
        <f>Average(I170,I168)</f>
        <v>2190.1</v>
      </c>
    </row>
    <row r="171">
      <c r="A171" s="5">
        <v>45571.0</v>
      </c>
      <c r="B171" s="6">
        <v>3.0</v>
      </c>
      <c r="C171" s="6" t="s">
        <v>11</v>
      </c>
      <c r="D171" s="6">
        <v>2.0</v>
      </c>
      <c r="E171" s="10">
        <f>64.653+180</f>
        <v>244.653</v>
      </c>
      <c r="F171" s="6">
        <v>1.0</v>
      </c>
      <c r="G171" s="9">
        <v>60.048</v>
      </c>
      <c r="H171" s="8">
        <v>26.2</v>
      </c>
      <c r="I171" s="6">
        <v>2161.1</v>
      </c>
    </row>
    <row r="172">
      <c r="A172" s="5">
        <v>45571.0</v>
      </c>
      <c r="B172" s="6">
        <v>3.0</v>
      </c>
      <c r="C172" s="6" t="s">
        <v>11</v>
      </c>
      <c r="D172" s="6">
        <v>2.0</v>
      </c>
      <c r="F172" s="6">
        <v>2.0</v>
      </c>
      <c r="G172" s="9">
        <v>60.035</v>
      </c>
      <c r="H172" s="8">
        <v>26.2</v>
      </c>
      <c r="I172" s="6">
        <v>2152.7</v>
      </c>
    </row>
    <row r="173">
      <c r="A173" s="5">
        <v>45571.0</v>
      </c>
      <c r="B173" s="6">
        <v>3.0</v>
      </c>
      <c r="C173" s="6" t="s">
        <v>11</v>
      </c>
      <c r="D173" s="6">
        <v>2.0</v>
      </c>
      <c r="F173" s="6">
        <v>3.0</v>
      </c>
      <c r="G173" s="9">
        <v>60.053</v>
      </c>
      <c r="H173" s="8">
        <v>26.1</v>
      </c>
      <c r="I173" s="6">
        <v>2159.0</v>
      </c>
      <c r="J173" s="10">
        <f>Average(I171,I173)</f>
        <v>2160.05</v>
      </c>
    </row>
    <row r="174">
      <c r="A174" s="5">
        <v>45571.0</v>
      </c>
      <c r="B174" s="6">
        <v>3.0</v>
      </c>
      <c r="C174" s="6" t="s">
        <v>11</v>
      </c>
      <c r="D174" s="6">
        <v>3.0</v>
      </c>
      <c r="E174" s="10">
        <f>180+66.749</f>
        <v>246.749</v>
      </c>
      <c r="F174" s="6">
        <v>1.0</v>
      </c>
      <c r="G174" s="9">
        <v>60.014</v>
      </c>
      <c r="H174" s="8">
        <v>26.2</v>
      </c>
      <c r="I174" s="6">
        <v>2177.7</v>
      </c>
    </row>
    <row r="175">
      <c r="A175" s="5">
        <v>45571.0</v>
      </c>
      <c r="B175" s="6">
        <v>3.0</v>
      </c>
      <c r="C175" s="6" t="s">
        <v>11</v>
      </c>
      <c r="D175" s="6">
        <v>3.0</v>
      </c>
      <c r="F175" s="6">
        <v>2.0</v>
      </c>
      <c r="G175" s="9">
        <v>60.03</v>
      </c>
      <c r="H175" s="8">
        <v>26.2</v>
      </c>
      <c r="I175" s="6">
        <v>2176.0</v>
      </c>
      <c r="J175" s="10">
        <f>Average(I174:I175)</f>
        <v>2176.85</v>
      </c>
    </row>
    <row r="176">
      <c r="A176" s="5"/>
      <c r="C176" s="6" t="s">
        <v>11</v>
      </c>
      <c r="G176" s="9"/>
      <c r="H176" s="8"/>
    </row>
    <row r="177">
      <c r="A177" s="5">
        <v>45571.0</v>
      </c>
      <c r="B177" s="6">
        <v>3.0</v>
      </c>
      <c r="C177" s="6" t="s">
        <v>11</v>
      </c>
      <c r="D177" s="6">
        <v>4.0</v>
      </c>
      <c r="E177" s="10">
        <f>55.825+180</f>
        <v>235.825</v>
      </c>
      <c r="F177" s="6">
        <v>1.0</v>
      </c>
      <c r="G177" s="9">
        <v>60.033</v>
      </c>
      <c r="H177" s="8">
        <v>26.1</v>
      </c>
      <c r="I177" s="6">
        <v>2172.2</v>
      </c>
    </row>
    <row r="178">
      <c r="A178" s="5">
        <v>45571.0</v>
      </c>
      <c r="B178" s="6">
        <v>3.0</v>
      </c>
      <c r="C178" s="6" t="s">
        <v>11</v>
      </c>
      <c r="D178" s="6">
        <v>4.0</v>
      </c>
      <c r="F178" s="6">
        <v>2.0</v>
      </c>
      <c r="G178" s="9">
        <v>60.013</v>
      </c>
      <c r="H178" s="8">
        <v>26.1</v>
      </c>
      <c r="I178" s="6">
        <v>2177.7</v>
      </c>
    </row>
    <row r="179">
      <c r="A179" s="5">
        <v>45571.0</v>
      </c>
      <c r="B179" s="6">
        <v>3.0</v>
      </c>
      <c r="C179" s="6" t="s">
        <v>11</v>
      </c>
      <c r="D179" s="6">
        <v>4.0</v>
      </c>
      <c r="F179" s="6">
        <v>3.0</v>
      </c>
      <c r="G179" s="9">
        <v>60.031</v>
      </c>
      <c r="H179" s="8">
        <v>26.0</v>
      </c>
      <c r="I179" s="6">
        <v>2177.2</v>
      </c>
      <c r="J179" s="10">
        <f>Average(I178:I179)</f>
        <v>2177.45</v>
      </c>
    </row>
    <row r="180">
      <c r="A180" s="5">
        <v>45571.0</v>
      </c>
      <c r="B180" s="6">
        <v>3.0</v>
      </c>
      <c r="C180" s="6" t="s">
        <v>11</v>
      </c>
      <c r="D180" s="6">
        <v>5.0</v>
      </c>
      <c r="E180" s="10">
        <f>64.667+180</f>
        <v>244.667</v>
      </c>
      <c r="F180" s="6">
        <v>1.0</v>
      </c>
      <c r="G180" s="9">
        <v>60.0</v>
      </c>
      <c r="H180" s="8">
        <v>26.0</v>
      </c>
      <c r="I180" s="6">
        <v>2194.1</v>
      </c>
    </row>
    <row r="181">
      <c r="A181" s="5">
        <v>45571.0</v>
      </c>
      <c r="B181" s="6">
        <v>3.0</v>
      </c>
      <c r="C181" s="6" t="s">
        <v>11</v>
      </c>
      <c r="D181" s="6">
        <v>5.0</v>
      </c>
      <c r="F181" s="6">
        <v>2.0</v>
      </c>
      <c r="G181" s="9">
        <v>60.018</v>
      </c>
      <c r="H181" s="8">
        <v>26.0</v>
      </c>
      <c r="I181" s="6">
        <v>2191.9</v>
      </c>
      <c r="J181" s="10">
        <f>Average(I180:I181)</f>
        <v>2193</v>
      </c>
    </row>
    <row r="182">
      <c r="A182" s="5"/>
      <c r="C182" s="6" t="s">
        <v>11</v>
      </c>
      <c r="G182" s="9"/>
      <c r="H182" s="8"/>
    </row>
    <row r="183">
      <c r="A183" s="5">
        <v>45571.0</v>
      </c>
      <c r="B183" s="6">
        <v>3.0</v>
      </c>
      <c r="C183" s="6" t="s">
        <v>11</v>
      </c>
      <c r="D183" s="6">
        <v>6.0</v>
      </c>
      <c r="E183" s="10">
        <f>60.96+180</f>
        <v>240.96</v>
      </c>
      <c r="F183" s="6">
        <v>1.0</v>
      </c>
      <c r="G183" s="9">
        <v>60.027</v>
      </c>
      <c r="H183" s="8">
        <v>26.0</v>
      </c>
      <c r="I183" s="6">
        <v>2119.3</v>
      </c>
    </row>
    <row r="184">
      <c r="A184" s="5">
        <v>45571.0</v>
      </c>
      <c r="B184" s="6">
        <v>3.0</v>
      </c>
      <c r="C184" s="6" t="s">
        <v>11</v>
      </c>
      <c r="D184" s="6">
        <v>6.0</v>
      </c>
      <c r="F184" s="6">
        <v>2.0</v>
      </c>
      <c r="G184" s="9">
        <v>60.039</v>
      </c>
      <c r="H184" s="8">
        <v>26.0</v>
      </c>
      <c r="I184" s="6">
        <v>2216.4</v>
      </c>
      <c r="J184" s="10">
        <f>Average(I183:I184)</f>
        <v>2167.85</v>
      </c>
    </row>
    <row r="185">
      <c r="A185" s="5"/>
      <c r="C185" s="6" t="s">
        <v>11</v>
      </c>
      <c r="G185" s="9"/>
      <c r="H185" s="8"/>
    </row>
    <row r="186">
      <c r="A186" s="5">
        <v>45571.0</v>
      </c>
      <c r="B186" s="6">
        <v>3.0</v>
      </c>
      <c r="C186" s="6" t="s">
        <v>11</v>
      </c>
      <c r="D186" s="6">
        <v>7.0</v>
      </c>
      <c r="E186" s="10">
        <f>58.242+180</f>
        <v>238.242</v>
      </c>
      <c r="F186" s="6">
        <v>1.0</v>
      </c>
      <c r="G186" s="9">
        <v>60.02</v>
      </c>
      <c r="H186" s="8">
        <v>26.1</v>
      </c>
      <c r="I186" s="6">
        <v>2175.7</v>
      </c>
    </row>
    <row r="187">
      <c r="A187" s="5">
        <v>45571.0</v>
      </c>
      <c r="B187" s="6">
        <v>3.0</v>
      </c>
      <c r="C187" s="6" t="s">
        <v>11</v>
      </c>
      <c r="D187" s="6">
        <v>7.0</v>
      </c>
      <c r="F187" s="6">
        <v>2.0</v>
      </c>
      <c r="G187" s="9">
        <v>60.031</v>
      </c>
      <c r="H187" s="8">
        <v>26.0</v>
      </c>
      <c r="I187" s="6">
        <v>2180.9</v>
      </c>
    </row>
    <row r="188">
      <c r="A188" s="5">
        <v>45571.0</v>
      </c>
      <c r="B188" s="6">
        <v>3.0</v>
      </c>
      <c r="C188" s="6" t="s">
        <v>11</v>
      </c>
      <c r="D188" s="6">
        <v>7.0</v>
      </c>
      <c r="F188" s="6">
        <v>3.0</v>
      </c>
      <c r="G188" s="9">
        <v>60.015</v>
      </c>
      <c r="H188" s="8">
        <v>25.9</v>
      </c>
      <c r="I188" s="6">
        <v>2177.4</v>
      </c>
      <c r="J188" s="10">
        <f>Average(I188,I186)</f>
        <v>2176.55</v>
      </c>
    </row>
    <row r="189">
      <c r="A189" s="5">
        <v>45571.0</v>
      </c>
      <c r="B189" s="6">
        <v>3.0</v>
      </c>
      <c r="C189" s="6" t="s">
        <v>11</v>
      </c>
      <c r="D189" s="6">
        <v>8.0</v>
      </c>
      <c r="E189" s="10">
        <f>55.679+180</f>
        <v>235.679</v>
      </c>
      <c r="F189" s="6">
        <v>1.0</v>
      </c>
      <c r="G189" s="9">
        <v>60.013</v>
      </c>
      <c r="H189" s="8">
        <v>25.9</v>
      </c>
      <c r="I189" s="6">
        <v>2190.4</v>
      </c>
    </row>
    <row r="190">
      <c r="A190" s="5">
        <v>45571.0</v>
      </c>
      <c r="B190" s="6">
        <v>3.0</v>
      </c>
      <c r="C190" s="6" t="s">
        <v>11</v>
      </c>
      <c r="D190" s="6">
        <v>8.0</v>
      </c>
      <c r="F190" s="6">
        <v>2.0</v>
      </c>
      <c r="G190" s="9">
        <v>60.005</v>
      </c>
      <c r="H190" s="8">
        <v>25.8</v>
      </c>
      <c r="I190" s="6">
        <v>2184.4</v>
      </c>
    </row>
    <row r="191">
      <c r="A191" s="5">
        <v>45571.0</v>
      </c>
      <c r="B191" s="6">
        <v>3.0</v>
      </c>
      <c r="C191" s="6" t="s">
        <v>11</v>
      </c>
      <c r="D191" s="6">
        <v>8.0</v>
      </c>
      <c r="F191" s="6">
        <v>3.0</v>
      </c>
      <c r="G191" s="9">
        <v>60.017</v>
      </c>
      <c r="H191" s="8">
        <v>25.8</v>
      </c>
      <c r="I191" s="6">
        <v>2187.1</v>
      </c>
      <c r="J191" s="10">
        <f>Average(I190:I191)</f>
        <v>2185.75</v>
      </c>
    </row>
    <row r="192">
      <c r="A192" s="5">
        <v>45571.0</v>
      </c>
      <c r="B192" s="6">
        <v>3.0</v>
      </c>
      <c r="C192" s="6" t="s">
        <v>11</v>
      </c>
      <c r="D192" s="6">
        <v>9.0</v>
      </c>
      <c r="E192" s="10">
        <f>64.881+180</f>
        <v>244.881</v>
      </c>
      <c r="F192" s="6">
        <v>1.0</v>
      </c>
      <c r="G192" s="9">
        <v>60.046</v>
      </c>
      <c r="H192" s="8">
        <v>25.8</v>
      </c>
      <c r="I192" s="6">
        <v>2184.6</v>
      </c>
    </row>
    <row r="193">
      <c r="A193" s="5">
        <v>45571.0</v>
      </c>
      <c r="B193" s="6">
        <v>3.0</v>
      </c>
      <c r="C193" s="6" t="s">
        <v>11</v>
      </c>
      <c r="D193" s="6">
        <v>9.0</v>
      </c>
      <c r="F193" s="6">
        <v>2.0</v>
      </c>
      <c r="G193" s="9">
        <v>60.005</v>
      </c>
      <c r="H193" s="8">
        <v>25.7</v>
      </c>
      <c r="I193" s="6">
        <v>2179.7</v>
      </c>
    </row>
    <row r="194">
      <c r="A194" s="5">
        <v>45571.0</v>
      </c>
      <c r="B194" s="6">
        <v>3.0</v>
      </c>
      <c r="C194" s="6" t="s">
        <v>11</v>
      </c>
      <c r="D194" s="6">
        <v>9.0</v>
      </c>
      <c r="F194" s="6">
        <v>3.0</v>
      </c>
      <c r="G194" s="9">
        <v>60.06</v>
      </c>
      <c r="H194" s="8">
        <v>25.6</v>
      </c>
      <c r="I194" s="6">
        <v>2181.1</v>
      </c>
      <c r="J194" s="10">
        <f>Average(I193:I194)</f>
        <v>2180.4</v>
      </c>
    </row>
    <row r="195">
      <c r="A195" s="5">
        <v>45571.0</v>
      </c>
      <c r="B195" s="6">
        <v>3.0</v>
      </c>
      <c r="C195" s="6" t="s">
        <v>11</v>
      </c>
      <c r="D195" s="6">
        <v>10.0</v>
      </c>
      <c r="E195" s="10">
        <f>59.681+180</f>
        <v>239.681</v>
      </c>
      <c r="F195" s="6">
        <v>1.0</v>
      </c>
      <c r="G195" s="9">
        <v>60.039</v>
      </c>
      <c r="H195" s="8">
        <v>25.6</v>
      </c>
      <c r="I195" s="6">
        <v>2145.3</v>
      </c>
    </row>
    <row r="196">
      <c r="A196" s="5">
        <v>45571.0</v>
      </c>
      <c r="B196" s="6">
        <v>3.0</v>
      </c>
      <c r="C196" s="6" t="s">
        <v>11</v>
      </c>
      <c r="D196" s="6">
        <v>10.0</v>
      </c>
      <c r="F196" s="6">
        <v>2.0</v>
      </c>
      <c r="G196" s="9">
        <v>60.048</v>
      </c>
      <c r="H196" s="8">
        <v>25.5</v>
      </c>
      <c r="I196" s="6">
        <v>2133.4</v>
      </c>
    </row>
    <row r="197">
      <c r="A197" s="5">
        <v>45571.0</v>
      </c>
      <c r="B197" s="6">
        <v>3.0</v>
      </c>
      <c r="C197" s="6" t="s">
        <v>11</v>
      </c>
      <c r="D197" s="6">
        <v>10.0</v>
      </c>
      <c r="F197" s="6">
        <v>3.0</v>
      </c>
      <c r="G197" s="9">
        <v>60.022</v>
      </c>
      <c r="H197" s="8">
        <v>25.4</v>
      </c>
      <c r="I197" s="6">
        <v>2147.5</v>
      </c>
      <c r="J197" s="10">
        <f>Average(I197,I195)</f>
        <v>2146.4</v>
      </c>
    </row>
    <row r="198">
      <c r="A198" s="5">
        <v>45571.0</v>
      </c>
      <c r="B198" s="6">
        <v>3.0</v>
      </c>
      <c r="C198" s="6" t="s">
        <v>11</v>
      </c>
      <c r="D198" s="6">
        <v>11.0</v>
      </c>
      <c r="E198" s="10">
        <f>58.578+180</f>
        <v>238.578</v>
      </c>
      <c r="F198" s="6">
        <v>1.0</v>
      </c>
      <c r="G198" s="9">
        <v>60.022</v>
      </c>
      <c r="H198" s="8">
        <v>25.4</v>
      </c>
      <c r="I198" s="6">
        <v>2147.6</v>
      </c>
    </row>
    <row r="199">
      <c r="A199" s="5">
        <v>45571.0</v>
      </c>
      <c r="B199" s="6">
        <v>3.0</v>
      </c>
      <c r="C199" s="6" t="s">
        <v>11</v>
      </c>
      <c r="D199" s="6">
        <v>11.0</v>
      </c>
      <c r="F199" s="6">
        <v>2.0</v>
      </c>
      <c r="G199" s="9">
        <v>60.061</v>
      </c>
      <c r="H199" s="8"/>
      <c r="I199" s="6">
        <v>2148.9</v>
      </c>
      <c r="J199" s="10">
        <f>Average(I198:I199)</f>
        <v>2148.25</v>
      </c>
    </row>
    <row r="200">
      <c r="A200" s="5"/>
      <c r="C200" s="6" t="s">
        <v>11</v>
      </c>
      <c r="G200" s="9"/>
      <c r="H200" s="8"/>
    </row>
    <row r="201">
      <c r="A201" s="5">
        <v>45571.0</v>
      </c>
      <c r="B201" s="6">
        <v>3.0</v>
      </c>
      <c r="C201" s="6" t="s">
        <v>11</v>
      </c>
      <c r="D201" s="6">
        <v>12.0</v>
      </c>
      <c r="E201" s="10">
        <f>54.604+180</f>
        <v>234.604</v>
      </c>
      <c r="F201" s="6">
        <v>1.0</v>
      </c>
      <c r="G201" s="9">
        <v>60.03</v>
      </c>
      <c r="H201" s="8">
        <v>25.4</v>
      </c>
      <c r="I201" s="6">
        <v>2155.4</v>
      </c>
    </row>
    <row r="202">
      <c r="A202" s="5">
        <v>45571.0</v>
      </c>
      <c r="B202" s="6">
        <v>3.0</v>
      </c>
      <c r="C202" s="6" t="s">
        <v>11</v>
      </c>
      <c r="D202" s="6">
        <v>12.0</v>
      </c>
      <c r="F202" s="6">
        <v>2.0</v>
      </c>
      <c r="G202" s="9">
        <v>60.068</v>
      </c>
      <c r="H202" s="8">
        <v>25.4</v>
      </c>
      <c r="I202" s="6">
        <v>2151.9</v>
      </c>
    </row>
    <row r="203">
      <c r="A203" s="5">
        <v>45571.0</v>
      </c>
      <c r="B203" s="6">
        <v>3.0</v>
      </c>
      <c r="C203" s="6" t="s">
        <v>11</v>
      </c>
      <c r="D203" s="6">
        <v>12.0</v>
      </c>
      <c r="F203" s="6">
        <v>3.0</v>
      </c>
      <c r="G203" s="9">
        <v>60.058</v>
      </c>
      <c r="H203" s="8">
        <v>25.2</v>
      </c>
      <c r="I203" s="6">
        <v>2155.0</v>
      </c>
      <c r="J203" s="10">
        <f>Average(I201,I203)</f>
        <v>2155.2</v>
      </c>
    </row>
    <row r="204">
      <c r="A204" s="5">
        <v>45571.0</v>
      </c>
      <c r="B204" s="6">
        <v>3.0</v>
      </c>
      <c r="C204" s="6" t="s">
        <v>11</v>
      </c>
      <c r="D204" s="6">
        <v>13.0</v>
      </c>
      <c r="E204" s="10">
        <f>48.278+180</f>
        <v>228.278</v>
      </c>
      <c r="F204" s="6">
        <v>1.0</v>
      </c>
      <c r="G204" s="9">
        <v>60.035</v>
      </c>
      <c r="H204" s="8">
        <v>25.3</v>
      </c>
      <c r="I204" s="6">
        <v>2194.7</v>
      </c>
    </row>
    <row r="205">
      <c r="A205" s="5">
        <v>45571.0</v>
      </c>
      <c r="B205" s="6">
        <v>3.0</v>
      </c>
      <c r="C205" s="6" t="s">
        <v>11</v>
      </c>
      <c r="D205" s="6">
        <v>13.0</v>
      </c>
      <c r="F205" s="6">
        <v>2.0</v>
      </c>
      <c r="G205" s="9">
        <v>60.037</v>
      </c>
      <c r="H205" s="8">
        <v>25.3</v>
      </c>
      <c r="I205" s="6">
        <v>2194.2</v>
      </c>
      <c r="J205" s="10">
        <f>Average(I204:I205)</f>
        <v>2194.45</v>
      </c>
    </row>
    <row r="206">
      <c r="A206" s="5"/>
      <c r="C206" s="6" t="s">
        <v>11</v>
      </c>
      <c r="G206" s="9"/>
      <c r="H206" s="8"/>
    </row>
    <row r="207">
      <c r="A207" s="5">
        <v>45571.0</v>
      </c>
      <c r="B207" s="6">
        <v>3.0</v>
      </c>
      <c r="C207" s="6" t="s">
        <v>11</v>
      </c>
      <c r="D207" s="1">
        <v>14.0</v>
      </c>
      <c r="F207" s="6">
        <v>1.0</v>
      </c>
      <c r="G207" s="9">
        <v>60.039</v>
      </c>
      <c r="H207" s="8">
        <v>25.1</v>
      </c>
      <c r="I207" s="6">
        <v>2192.4</v>
      </c>
    </row>
    <row r="208">
      <c r="A208" s="5">
        <v>45571.0</v>
      </c>
      <c r="B208" s="6">
        <v>3.0</v>
      </c>
      <c r="C208" s="6" t="s">
        <v>11</v>
      </c>
      <c r="D208" s="1">
        <v>14.0</v>
      </c>
      <c r="F208" s="6">
        <v>2.0</v>
      </c>
      <c r="G208" s="9">
        <v>60.037</v>
      </c>
      <c r="H208" s="8">
        <v>25.1</v>
      </c>
      <c r="I208" s="6">
        <v>2188.2</v>
      </c>
    </row>
    <row r="209">
      <c r="A209" s="5">
        <v>45571.0</v>
      </c>
      <c r="B209" s="6">
        <v>3.0</v>
      </c>
      <c r="C209" s="6" t="s">
        <v>11</v>
      </c>
      <c r="D209" s="1">
        <v>14.0</v>
      </c>
      <c r="F209" s="6">
        <v>3.0</v>
      </c>
      <c r="G209" s="9">
        <v>60.037</v>
      </c>
      <c r="H209" s="8">
        <v>25.0</v>
      </c>
      <c r="I209" s="6">
        <v>2193.3</v>
      </c>
      <c r="J209" s="10">
        <f>Average(I207,I209)</f>
        <v>2192.85</v>
      </c>
    </row>
    <row r="210">
      <c r="A210" s="5">
        <v>45571.0</v>
      </c>
      <c r="B210" s="6">
        <v>3.0</v>
      </c>
      <c r="C210" s="6" t="s">
        <v>11</v>
      </c>
      <c r="D210" s="6">
        <v>15.0</v>
      </c>
      <c r="E210" s="10">
        <f>61.417+180</f>
        <v>241.417</v>
      </c>
      <c r="F210" s="6">
        <v>1.0</v>
      </c>
      <c r="G210" s="9">
        <v>60.025</v>
      </c>
      <c r="H210" s="8">
        <v>25.0</v>
      </c>
      <c r="I210" s="6">
        <v>2180.8</v>
      </c>
    </row>
    <row r="211">
      <c r="A211" s="5">
        <v>45571.0</v>
      </c>
      <c r="B211" s="6">
        <v>3.0</v>
      </c>
      <c r="C211" s="6" t="s">
        <v>11</v>
      </c>
      <c r="D211" s="6">
        <v>15.0</v>
      </c>
      <c r="F211" s="6">
        <v>2.0</v>
      </c>
      <c r="G211" s="9">
        <v>60.004</v>
      </c>
      <c r="H211" s="8">
        <v>25.0</v>
      </c>
      <c r="I211" s="6">
        <v>2184.4</v>
      </c>
    </row>
    <row r="212">
      <c r="A212" s="5">
        <v>45571.0</v>
      </c>
      <c r="B212" s="6">
        <v>3.0</v>
      </c>
      <c r="C212" s="6" t="s">
        <v>11</v>
      </c>
      <c r="D212" s="6">
        <v>15.0</v>
      </c>
      <c r="F212" s="6">
        <v>3.0</v>
      </c>
      <c r="G212" s="9">
        <v>60.091</v>
      </c>
      <c r="H212" s="8">
        <v>24.9</v>
      </c>
      <c r="I212" s="6">
        <v>2180.9</v>
      </c>
      <c r="J212" s="10">
        <f>Average(I212,I210)</f>
        <v>2180.85</v>
      </c>
    </row>
    <row r="213">
      <c r="A213" s="5">
        <v>45571.0</v>
      </c>
      <c r="B213" s="6">
        <v>3.0</v>
      </c>
      <c r="C213" s="6" t="s">
        <v>11</v>
      </c>
      <c r="D213" s="6">
        <v>16.0</v>
      </c>
      <c r="E213" s="10">
        <f>63.923+180</f>
        <v>243.923</v>
      </c>
      <c r="F213" s="6">
        <v>1.0</v>
      </c>
      <c r="G213" s="9">
        <v>60.038</v>
      </c>
      <c r="H213" s="8">
        <v>24.9</v>
      </c>
      <c r="I213" s="6">
        <v>2188.8</v>
      </c>
    </row>
    <row r="214">
      <c r="A214" s="5">
        <v>45571.0</v>
      </c>
      <c r="B214" s="6">
        <v>3.0</v>
      </c>
      <c r="C214" s="6" t="s">
        <v>11</v>
      </c>
      <c r="D214" s="6">
        <v>16.0</v>
      </c>
      <c r="F214" s="6">
        <v>2.0</v>
      </c>
      <c r="G214" s="9">
        <v>60.009</v>
      </c>
      <c r="H214" s="8">
        <v>24.9</v>
      </c>
      <c r="I214" s="6">
        <v>2189.7</v>
      </c>
      <c r="J214" s="10">
        <f>Average(I213:I214)</f>
        <v>2189.25</v>
      </c>
    </row>
    <row r="215">
      <c r="A215" s="5"/>
      <c r="C215" s="6" t="s">
        <v>11</v>
      </c>
      <c r="G215" s="9"/>
      <c r="H215" s="8"/>
    </row>
    <row r="216">
      <c r="A216" s="5">
        <v>45571.0</v>
      </c>
      <c r="B216" s="6">
        <v>3.0</v>
      </c>
      <c r="C216" s="6" t="s">
        <v>11</v>
      </c>
      <c r="D216" s="6">
        <v>17.0</v>
      </c>
      <c r="E216" s="10">
        <f>56.318+180</f>
        <v>236.318</v>
      </c>
      <c r="F216" s="6">
        <v>1.0</v>
      </c>
      <c r="G216" s="9">
        <v>60.005</v>
      </c>
      <c r="H216" s="8">
        <v>24.9</v>
      </c>
      <c r="I216" s="6">
        <v>2188.8</v>
      </c>
    </row>
    <row r="217">
      <c r="A217" s="5">
        <v>45571.0</v>
      </c>
      <c r="B217" s="6">
        <v>3.0</v>
      </c>
      <c r="C217" s="6" t="s">
        <v>11</v>
      </c>
      <c r="D217" s="6">
        <v>17.0</v>
      </c>
      <c r="F217" s="6">
        <v>2.0</v>
      </c>
      <c r="G217" s="9">
        <v>60.081</v>
      </c>
      <c r="H217" s="8">
        <v>24.9</v>
      </c>
      <c r="I217" s="6">
        <v>2187.7</v>
      </c>
      <c r="J217" s="10">
        <f>Average(I216:I217)</f>
        <v>2188.25</v>
      </c>
    </row>
    <row r="218">
      <c r="A218" s="5"/>
      <c r="C218" s="6" t="s">
        <v>11</v>
      </c>
      <c r="G218" s="9"/>
      <c r="H218" s="8"/>
    </row>
    <row r="219">
      <c r="A219" s="5">
        <v>45571.0</v>
      </c>
      <c r="B219" s="6">
        <v>3.0</v>
      </c>
      <c r="C219" s="6" t="s">
        <v>11</v>
      </c>
      <c r="D219" s="6">
        <v>18.0</v>
      </c>
      <c r="E219" s="10">
        <f>66.179+180</f>
        <v>246.179</v>
      </c>
      <c r="F219" s="6">
        <v>1.0</v>
      </c>
      <c r="G219" s="9">
        <v>60.01</v>
      </c>
      <c r="H219" s="8">
        <v>24.9</v>
      </c>
      <c r="I219" s="6">
        <v>2189.6</v>
      </c>
    </row>
    <row r="220">
      <c r="A220" s="5">
        <v>45571.0</v>
      </c>
      <c r="B220" s="6">
        <v>3.0</v>
      </c>
      <c r="C220" s="6" t="s">
        <v>11</v>
      </c>
      <c r="D220" s="6">
        <v>18.0</v>
      </c>
      <c r="F220" s="6">
        <v>2.0</v>
      </c>
      <c r="G220" s="9">
        <v>60.033</v>
      </c>
      <c r="H220" s="8">
        <v>24.8</v>
      </c>
      <c r="I220" s="6">
        <v>2194.7</v>
      </c>
    </row>
    <row r="221">
      <c r="A221" s="5">
        <v>45571.0</v>
      </c>
      <c r="B221" s="6">
        <v>3.0</v>
      </c>
      <c r="C221" s="6" t="s">
        <v>11</v>
      </c>
      <c r="D221" s="6">
        <v>18.0</v>
      </c>
      <c r="F221" s="6">
        <v>3.0</v>
      </c>
      <c r="G221" s="9">
        <v>60.046</v>
      </c>
      <c r="H221" s="8">
        <v>24.8</v>
      </c>
      <c r="I221" s="6">
        <v>2191.0</v>
      </c>
      <c r="J221" s="10">
        <f>Average(I219,I221)</f>
        <v>2190.3</v>
      </c>
    </row>
    <row r="222">
      <c r="A222" s="5">
        <v>45571.0</v>
      </c>
      <c r="B222" s="6">
        <v>3.0</v>
      </c>
      <c r="C222" s="6" t="s">
        <v>11</v>
      </c>
      <c r="D222" s="6">
        <v>19.0</v>
      </c>
      <c r="E222" s="10">
        <f>61.075+180</f>
        <v>241.075</v>
      </c>
      <c r="F222" s="6">
        <v>1.0</v>
      </c>
      <c r="G222" s="9">
        <v>60.019</v>
      </c>
      <c r="H222" s="8">
        <v>24.9</v>
      </c>
      <c r="I222" s="6">
        <v>2168.2</v>
      </c>
    </row>
    <row r="223">
      <c r="A223" s="5">
        <v>45571.0</v>
      </c>
      <c r="B223" s="6">
        <v>3.0</v>
      </c>
      <c r="C223" s="6" t="s">
        <v>11</v>
      </c>
      <c r="D223" s="6">
        <v>19.0</v>
      </c>
      <c r="F223" s="6">
        <v>2.0</v>
      </c>
      <c r="G223" s="9">
        <v>60.05</v>
      </c>
      <c r="H223" s="8">
        <v>24.8</v>
      </c>
      <c r="I223" s="6">
        <v>2177.1</v>
      </c>
    </row>
    <row r="224">
      <c r="A224" s="5">
        <v>45571.0</v>
      </c>
      <c r="B224" s="6">
        <v>3.0</v>
      </c>
      <c r="C224" s="6" t="s">
        <v>11</v>
      </c>
      <c r="D224" s="6">
        <v>19.0</v>
      </c>
      <c r="F224" s="6">
        <v>3.0</v>
      </c>
      <c r="G224" s="9">
        <v>60.017</v>
      </c>
      <c r="H224" s="8">
        <v>24.7</v>
      </c>
      <c r="I224" s="6">
        <v>2178.3</v>
      </c>
      <c r="J224" s="10">
        <f>Average(I223:I224)</f>
        <v>2177.7</v>
      </c>
    </row>
    <row r="225">
      <c r="A225" s="5">
        <v>45571.0</v>
      </c>
      <c r="B225" s="6">
        <v>3.0</v>
      </c>
      <c r="C225" s="6" t="s">
        <v>11</v>
      </c>
      <c r="D225" s="6">
        <v>20.0</v>
      </c>
      <c r="E225" s="10">
        <f>60.293+180</f>
        <v>240.293</v>
      </c>
      <c r="F225" s="6">
        <v>1.0</v>
      </c>
      <c r="G225" s="9">
        <v>60.037</v>
      </c>
      <c r="H225" s="8">
        <v>24.8</v>
      </c>
      <c r="I225" s="6">
        <v>2182.5</v>
      </c>
    </row>
    <row r="226">
      <c r="A226" s="5">
        <v>45571.0</v>
      </c>
      <c r="B226" s="6">
        <v>3.0</v>
      </c>
      <c r="C226" s="6" t="s">
        <v>11</v>
      </c>
      <c r="D226" s="6">
        <v>20.0</v>
      </c>
      <c r="F226" s="6">
        <v>2.0</v>
      </c>
      <c r="G226" s="9">
        <v>60.014</v>
      </c>
      <c r="H226" s="8">
        <v>24.8</v>
      </c>
      <c r="I226" s="6">
        <v>2194.0</v>
      </c>
    </row>
    <row r="227">
      <c r="A227" s="5">
        <v>45571.0</v>
      </c>
      <c r="B227" s="6">
        <v>3.0</v>
      </c>
      <c r="C227" s="6" t="s">
        <v>11</v>
      </c>
      <c r="D227" s="6">
        <v>20.0</v>
      </c>
      <c r="F227" s="6">
        <v>3.0</v>
      </c>
      <c r="G227" s="9">
        <v>60.001</v>
      </c>
      <c r="H227" s="8">
        <v>24.7</v>
      </c>
      <c r="I227" s="6">
        <v>2185.1</v>
      </c>
      <c r="J227" s="10">
        <f>Average(I227,I225)</f>
        <v>2183.8</v>
      </c>
    </row>
    <row r="228">
      <c r="A228" s="5">
        <v>45571.0</v>
      </c>
      <c r="B228" s="6">
        <v>3.0</v>
      </c>
      <c r="C228" s="6" t="s">
        <v>11</v>
      </c>
      <c r="D228" s="6">
        <v>21.0</v>
      </c>
      <c r="E228" s="10">
        <f>55.824+180</f>
        <v>235.824</v>
      </c>
      <c r="F228" s="6">
        <v>1.0</v>
      </c>
      <c r="G228" s="9">
        <v>60.054</v>
      </c>
      <c r="H228" s="8">
        <v>24.8</v>
      </c>
      <c r="I228" s="6">
        <v>2196.1</v>
      </c>
    </row>
    <row r="229">
      <c r="A229" s="5">
        <v>45571.0</v>
      </c>
      <c r="B229" s="6">
        <v>3.0</v>
      </c>
      <c r="C229" s="6" t="s">
        <v>11</v>
      </c>
      <c r="D229" s="6">
        <v>21.0</v>
      </c>
      <c r="F229" s="6">
        <v>2.0</v>
      </c>
      <c r="G229" s="9">
        <v>60.071</v>
      </c>
      <c r="H229" s="8">
        <v>24.7</v>
      </c>
      <c r="I229" s="6">
        <v>2193.5</v>
      </c>
      <c r="J229" s="10">
        <f>Average(I228:I229)</f>
        <v>2194.8</v>
      </c>
    </row>
    <row r="230">
      <c r="A230" s="5">
        <v>45571.0</v>
      </c>
      <c r="G230" s="9"/>
      <c r="H230" s="8"/>
    </row>
    <row r="231">
      <c r="A231" s="5">
        <v>45571.0</v>
      </c>
      <c r="B231" s="6">
        <v>3.0</v>
      </c>
      <c r="C231" s="6" t="s">
        <v>11</v>
      </c>
      <c r="D231" s="6">
        <v>22.0</v>
      </c>
      <c r="E231" s="10">
        <f>63.016+180</f>
        <v>243.016</v>
      </c>
      <c r="F231" s="6">
        <v>1.0</v>
      </c>
      <c r="G231" s="9">
        <v>60.016</v>
      </c>
      <c r="H231" s="8">
        <v>24.7</v>
      </c>
      <c r="I231" s="6">
        <v>2209.5</v>
      </c>
    </row>
    <row r="232">
      <c r="A232" s="5">
        <v>45571.0</v>
      </c>
      <c r="B232" s="6">
        <v>3.0</v>
      </c>
      <c r="C232" s="6" t="s">
        <v>11</v>
      </c>
      <c r="D232" s="6">
        <v>22.0</v>
      </c>
      <c r="F232" s="6">
        <v>2.0</v>
      </c>
      <c r="G232" s="9">
        <v>60.036</v>
      </c>
      <c r="H232" s="8">
        <v>24.6</v>
      </c>
      <c r="I232" s="6">
        <v>2200.1</v>
      </c>
      <c r="J232" s="10">
        <f>Average(I231:I232)</f>
        <v>2204.8</v>
      </c>
    </row>
    <row r="233">
      <c r="A233" s="5">
        <v>45571.0</v>
      </c>
      <c r="B233" s="6">
        <v>3.0</v>
      </c>
      <c r="C233" s="6" t="s">
        <v>11</v>
      </c>
      <c r="D233" s="6">
        <v>22.0</v>
      </c>
      <c r="F233" s="6">
        <v>3.0</v>
      </c>
      <c r="G233" s="9">
        <v>60.044</v>
      </c>
      <c r="H233" s="8">
        <v>24.6</v>
      </c>
      <c r="I233" s="6">
        <v>2189.1</v>
      </c>
    </row>
    <row r="234">
      <c r="A234" s="5">
        <v>45571.0</v>
      </c>
      <c r="B234" s="6">
        <v>3.0</v>
      </c>
      <c r="C234" s="6" t="s">
        <v>11</v>
      </c>
      <c r="D234" s="6">
        <v>23.0</v>
      </c>
      <c r="E234" s="10">
        <f>59.156+180</f>
        <v>239.156</v>
      </c>
      <c r="F234" s="6">
        <v>1.0</v>
      </c>
      <c r="G234" s="9">
        <v>60.096</v>
      </c>
      <c r="H234" s="8">
        <v>24.7</v>
      </c>
      <c r="I234" s="6">
        <v>2180.1</v>
      </c>
    </row>
    <row r="235">
      <c r="A235" s="5">
        <v>45571.0</v>
      </c>
      <c r="B235" s="6">
        <v>3.0</v>
      </c>
      <c r="C235" s="6" t="s">
        <v>11</v>
      </c>
      <c r="D235" s="6">
        <v>23.0</v>
      </c>
      <c r="F235" s="6">
        <v>2.0</v>
      </c>
      <c r="G235" s="9">
        <v>60.032</v>
      </c>
      <c r="H235" s="8">
        <v>24.7</v>
      </c>
      <c r="I235" s="6">
        <v>2181.7</v>
      </c>
      <c r="J235" s="10">
        <f>Average(I234:I235)</f>
        <v>2180.9</v>
      </c>
    </row>
    <row r="236">
      <c r="A236" s="5">
        <v>45571.0</v>
      </c>
      <c r="G236" s="9"/>
      <c r="H236" s="8"/>
    </row>
    <row r="237">
      <c r="A237" s="5">
        <v>45571.0</v>
      </c>
      <c r="B237" s="6">
        <v>3.0</v>
      </c>
      <c r="C237" s="6" t="s">
        <v>11</v>
      </c>
      <c r="D237" s="6">
        <v>24.0</v>
      </c>
      <c r="E237" s="10">
        <f>60.387+180</f>
        <v>240.387</v>
      </c>
      <c r="F237" s="6">
        <v>1.0</v>
      </c>
      <c r="G237" s="9">
        <v>60.0</v>
      </c>
      <c r="H237" s="8">
        <v>24.8</v>
      </c>
      <c r="I237" s="6">
        <v>2180.3</v>
      </c>
    </row>
    <row r="238">
      <c r="A238" s="5"/>
      <c r="B238" s="6">
        <v>3.0</v>
      </c>
      <c r="C238" s="6" t="s">
        <v>11</v>
      </c>
      <c r="D238" s="6">
        <v>24.0</v>
      </c>
      <c r="F238" s="6">
        <v>2.0</v>
      </c>
      <c r="G238" s="9">
        <v>60.017</v>
      </c>
      <c r="H238" s="8">
        <v>24.7</v>
      </c>
      <c r="I238" s="6">
        <v>2174.2</v>
      </c>
    </row>
    <row r="239">
      <c r="A239" s="5">
        <v>45571.0</v>
      </c>
      <c r="B239" s="6">
        <v>3.0</v>
      </c>
      <c r="C239" s="6" t="s">
        <v>11</v>
      </c>
      <c r="D239" s="6">
        <v>24.0</v>
      </c>
      <c r="F239" s="6">
        <v>3.0</v>
      </c>
      <c r="G239" s="9">
        <v>60.044</v>
      </c>
      <c r="H239" s="8">
        <v>24.7</v>
      </c>
      <c r="I239" s="6">
        <v>2178.9</v>
      </c>
      <c r="J239" s="10">
        <f>Average(I238:I239)</f>
        <v>2176.55</v>
      </c>
    </row>
    <row r="240">
      <c r="A240" s="5">
        <v>45571.0</v>
      </c>
      <c r="B240" s="6">
        <v>3.0</v>
      </c>
      <c r="C240" s="6" t="s">
        <v>11</v>
      </c>
      <c r="D240" s="6">
        <v>25.0</v>
      </c>
      <c r="E240" s="10">
        <f>58.143+180</f>
        <v>238.143</v>
      </c>
      <c r="F240" s="6">
        <v>1.0</v>
      </c>
      <c r="G240" s="9">
        <v>60.045</v>
      </c>
      <c r="H240" s="8">
        <v>24.8</v>
      </c>
      <c r="I240" s="6">
        <v>2178.4</v>
      </c>
    </row>
    <row r="241">
      <c r="A241" s="5"/>
      <c r="B241" s="6">
        <v>3.0</v>
      </c>
      <c r="C241" s="6" t="s">
        <v>11</v>
      </c>
      <c r="D241" s="6">
        <v>25.0</v>
      </c>
      <c r="F241" s="6">
        <v>2.0</v>
      </c>
      <c r="G241" s="9">
        <v>60.01</v>
      </c>
      <c r="H241" s="8">
        <v>24.8</v>
      </c>
      <c r="I241" s="6">
        <v>2171.9</v>
      </c>
    </row>
    <row r="242">
      <c r="A242" s="5">
        <v>45571.0</v>
      </c>
      <c r="B242" s="6">
        <v>3.0</v>
      </c>
      <c r="C242" s="6" t="s">
        <v>11</v>
      </c>
      <c r="D242" s="6">
        <v>25.0</v>
      </c>
      <c r="F242" s="6">
        <v>3.0</v>
      </c>
      <c r="G242" s="9">
        <v>60.014</v>
      </c>
      <c r="H242" s="8">
        <v>24.6</v>
      </c>
      <c r="I242" s="6">
        <v>2167.0</v>
      </c>
      <c r="J242" s="10">
        <f>Average(I241:I242)</f>
        <v>2169.45</v>
      </c>
    </row>
    <row r="243">
      <c r="A243" s="5">
        <v>45571.0</v>
      </c>
      <c r="B243" s="6">
        <v>3.0</v>
      </c>
      <c r="C243" s="6" t="s">
        <v>11</v>
      </c>
      <c r="D243" s="6">
        <v>26.0</v>
      </c>
      <c r="E243" s="10">
        <f>47.493+180</f>
        <v>227.493</v>
      </c>
      <c r="F243" s="6">
        <v>1.0</v>
      </c>
      <c r="G243" s="9">
        <v>60.023</v>
      </c>
      <c r="H243" s="8">
        <v>24.5</v>
      </c>
      <c r="I243" s="6">
        <v>2191.1</v>
      </c>
    </row>
    <row r="244">
      <c r="A244" s="5">
        <v>45571.0</v>
      </c>
      <c r="B244" s="6">
        <v>3.0</v>
      </c>
      <c r="C244" s="6" t="s">
        <v>11</v>
      </c>
      <c r="D244" s="6">
        <v>26.0</v>
      </c>
      <c r="F244" s="6">
        <v>2.0</v>
      </c>
      <c r="G244" s="9">
        <v>60.038</v>
      </c>
      <c r="H244" s="8">
        <v>24.5</v>
      </c>
      <c r="I244" s="6">
        <v>2191.7</v>
      </c>
      <c r="J244" s="10">
        <f>Average(I243:I244)</f>
        <v>2191.4</v>
      </c>
    </row>
    <row r="245">
      <c r="A245" s="5">
        <v>45571.0</v>
      </c>
      <c r="C245" s="6" t="s">
        <v>11</v>
      </c>
      <c r="G245" s="9"/>
      <c r="H245" s="8"/>
    </row>
    <row r="246">
      <c r="A246" s="5">
        <v>45571.0</v>
      </c>
      <c r="B246" s="6">
        <v>4.0</v>
      </c>
      <c r="C246" s="6" t="s">
        <v>11</v>
      </c>
      <c r="D246" s="1">
        <v>27.0</v>
      </c>
      <c r="F246" s="6">
        <v>1.0</v>
      </c>
      <c r="G246" s="9">
        <v>60.017</v>
      </c>
      <c r="H246" s="8">
        <v>24.6</v>
      </c>
      <c r="I246" s="6">
        <v>2188.7</v>
      </c>
    </row>
    <row r="247">
      <c r="A247" s="5">
        <v>45571.0</v>
      </c>
      <c r="B247" s="6">
        <v>4.0</v>
      </c>
      <c r="C247" s="6" t="s">
        <v>11</v>
      </c>
      <c r="D247" s="1">
        <v>27.0</v>
      </c>
      <c r="F247" s="6">
        <v>2.0</v>
      </c>
      <c r="G247" s="9">
        <v>60.027</v>
      </c>
      <c r="H247" s="8">
        <v>24.6</v>
      </c>
      <c r="I247" s="6">
        <v>2185.4</v>
      </c>
      <c r="J247" s="10">
        <f>Average(I246:I247)</f>
        <v>2187.05</v>
      </c>
    </row>
    <row r="248">
      <c r="A248" s="5">
        <v>45571.0</v>
      </c>
      <c r="C248" s="6" t="s">
        <v>11</v>
      </c>
      <c r="D248" s="1"/>
      <c r="G248" s="9"/>
      <c r="H248" s="8"/>
    </row>
    <row r="249">
      <c r="A249" s="5">
        <v>45571.0</v>
      </c>
      <c r="B249" s="6">
        <v>4.0</v>
      </c>
      <c r="C249" s="6" t="s">
        <v>11</v>
      </c>
      <c r="D249" s="6">
        <v>28.0</v>
      </c>
      <c r="E249" s="10">
        <f>68.383+180</f>
        <v>248.383</v>
      </c>
      <c r="F249" s="6">
        <v>1.0</v>
      </c>
      <c r="G249" s="9">
        <v>60.047</v>
      </c>
      <c r="H249" s="8">
        <v>25.0</v>
      </c>
      <c r="I249" s="6">
        <v>2180.7</v>
      </c>
    </row>
    <row r="250">
      <c r="A250" s="5">
        <v>45571.0</v>
      </c>
      <c r="B250" s="6">
        <v>4.0</v>
      </c>
      <c r="C250" s="6" t="s">
        <v>11</v>
      </c>
      <c r="D250" s="6">
        <v>28.0</v>
      </c>
      <c r="F250" s="6">
        <v>2.0</v>
      </c>
      <c r="G250" s="9">
        <v>60.07</v>
      </c>
      <c r="H250" s="8">
        <v>24.9</v>
      </c>
      <c r="I250" s="6">
        <v>2175.2</v>
      </c>
    </row>
    <row r="251">
      <c r="A251" s="5">
        <v>45571.0</v>
      </c>
      <c r="B251" s="6">
        <v>4.0</v>
      </c>
      <c r="C251" s="6" t="s">
        <v>11</v>
      </c>
      <c r="D251" s="6">
        <v>28.0</v>
      </c>
      <c r="F251" s="6">
        <v>3.0</v>
      </c>
      <c r="G251" s="9">
        <v>60.019</v>
      </c>
      <c r="H251" s="8"/>
      <c r="I251" s="6">
        <v>2177.6</v>
      </c>
      <c r="J251" s="10">
        <f>Average(I250:I251)</f>
        <v>2176.4</v>
      </c>
    </row>
    <row r="252">
      <c r="A252" s="5">
        <v>45571.0</v>
      </c>
      <c r="B252" s="6">
        <v>4.0</v>
      </c>
      <c r="C252" s="6" t="s">
        <v>11</v>
      </c>
      <c r="D252" s="12">
        <v>29.0</v>
      </c>
      <c r="E252" s="10">
        <f>63.849+180</f>
        <v>243.849</v>
      </c>
      <c r="F252" s="6">
        <v>1.0</v>
      </c>
      <c r="G252" s="9">
        <v>60.043</v>
      </c>
      <c r="H252" s="8">
        <v>24.9</v>
      </c>
      <c r="I252" s="6">
        <v>2161.5</v>
      </c>
    </row>
    <row r="253">
      <c r="A253" s="5">
        <v>45571.0</v>
      </c>
      <c r="B253" s="6">
        <v>4.0</v>
      </c>
      <c r="C253" s="6" t="s">
        <v>11</v>
      </c>
      <c r="D253" s="12">
        <v>29.0</v>
      </c>
      <c r="F253" s="6">
        <v>2.0</v>
      </c>
      <c r="G253" s="9">
        <v>60.061</v>
      </c>
      <c r="H253" s="8">
        <v>24.9</v>
      </c>
      <c r="I253" s="6">
        <v>2155.2</v>
      </c>
    </row>
    <row r="254">
      <c r="A254" s="5">
        <v>45571.0</v>
      </c>
      <c r="B254" s="6">
        <v>4.0</v>
      </c>
      <c r="C254" s="6" t="s">
        <v>11</v>
      </c>
      <c r="D254" s="12">
        <v>29.0</v>
      </c>
      <c r="F254" s="6">
        <v>3.0</v>
      </c>
      <c r="G254" s="9">
        <v>60.072</v>
      </c>
      <c r="H254" s="8">
        <v>24.7</v>
      </c>
      <c r="I254" s="6">
        <v>2149.1</v>
      </c>
      <c r="J254" s="10">
        <f>Average(I253:I254)</f>
        <v>2152.15</v>
      </c>
    </row>
    <row r="255">
      <c r="A255" s="5">
        <v>45571.0</v>
      </c>
      <c r="B255" s="6">
        <v>4.0</v>
      </c>
      <c r="C255" s="6" t="s">
        <v>11</v>
      </c>
      <c r="D255" s="12">
        <v>30.0</v>
      </c>
      <c r="E255" s="10">
        <f>49.371+180</f>
        <v>229.371</v>
      </c>
      <c r="F255" s="6">
        <v>1.0</v>
      </c>
      <c r="G255" s="9">
        <v>60.011</v>
      </c>
      <c r="H255" s="8">
        <v>24.8</v>
      </c>
      <c r="I255" s="6">
        <v>2102.0</v>
      </c>
    </row>
    <row r="256">
      <c r="A256" s="5">
        <v>45571.0</v>
      </c>
      <c r="B256" s="6">
        <v>4.0</v>
      </c>
      <c r="C256" s="6" t="s">
        <v>11</v>
      </c>
      <c r="D256" s="12">
        <v>30.0</v>
      </c>
      <c r="F256" s="6">
        <v>2.0</v>
      </c>
      <c r="G256" s="9">
        <v>60.012</v>
      </c>
      <c r="H256" s="8">
        <v>24.7</v>
      </c>
      <c r="I256" s="6">
        <v>2102.5</v>
      </c>
      <c r="J256" s="10">
        <f>Average(I255:I256)</f>
        <v>2102.25</v>
      </c>
    </row>
    <row r="257">
      <c r="A257" s="5"/>
      <c r="D257" s="12"/>
      <c r="G257" s="9"/>
      <c r="H257" s="8"/>
    </row>
    <row r="258">
      <c r="A258" s="5">
        <v>45571.0</v>
      </c>
      <c r="B258" s="6">
        <v>4.0</v>
      </c>
      <c r="C258" s="6" t="s">
        <v>11</v>
      </c>
      <c r="D258" s="12">
        <v>31.0</v>
      </c>
      <c r="E258" s="10">
        <f>61.585+180</f>
        <v>241.585</v>
      </c>
      <c r="F258" s="6">
        <v>1.0</v>
      </c>
      <c r="G258" s="9">
        <v>60.045</v>
      </c>
      <c r="H258" s="8">
        <v>24.9</v>
      </c>
      <c r="I258" s="6">
        <v>2170.8</v>
      </c>
    </row>
    <row r="259">
      <c r="A259" s="5">
        <v>45571.0</v>
      </c>
      <c r="B259" s="6">
        <v>4.0</v>
      </c>
      <c r="C259" s="6" t="s">
        <v>11</v>
      </c>
      <c r="D259" s="12">
        <v>31.0</v>
      </c>
      <c r="F259" s="6">
        <v>2.0</v>
      </c>
      <c r="G259" s="9">
        <v>60.038</v>
      </c>
      <c r="H259" s="8">
        <v>24.8</v>
      </c>
      <c r="I259" s="6">
        <v>2174.8</v>
      </c>
    </row>
    <row r="260">
      <c r="A260" s="5">
        <v>45571.0</v>
      </c>
      <c r="B260" s="6">
        <v>4.0</v>
      </c>
      <c r="C260" s="6" t="s">
        <v>11</v>
      </c>
      <c r="D260" s="12">
        <v>31.0</v>
      </c>
      <c r="F260" s="6">
        <v>3.0</v>
      </c>
      <c r="G260" s="9">
        <v>60.048</v>
      </c>
      <c r="H260" s="8">
        <v>24.7</v>
      </c>
      <c r="I260" s="6">
        <v>2173.2</v>
      </c>
      <c r="J260" s="10">
        <f>Average(I259:I260)</f>
        <v>2174</v>
      </c>
    </row>
    <row r="261">
      <c r="A261" s="5">
        <v>45571.0</v>
      </c>
      <c r="B261" s="6">
        <v>4.0</v>
      </c>
      <c r="C261" s="6" t="s">
        <v>11</v>
      </c>
      <c r="D261" s="6">
        <v>32.0</v>
      </c>
      <c r="E261" s="10">
        <f>62.519+180</f>
        <v>242.519</v>
      </c>
      <c r="F261" s="6">
        <v>1.0</v>
      </c>
      <c r="G261" s="9">
        <v>60.026</v>
      </c>
      <c r="H261" s="8">
        <v>24.8</v>
      </c>
      <c r="I261" s="6">
        <v>2138.5</v>
      </c>
    </row>
    <row r="262">
      <c r="A262" s="5">
        <v>45571.0</v>
      </c>
      <c r="B262" s="6">
        <v>4.0</v>
      </c>
      <c r="C262" s="6" t="s">
        <v>11</v>
      </c>
      <c r="D262" s="6">
        <v>32.0</v>
      </c>
      <c r="F262" s="6">
        <v>2.0</v>
      </c>
      <c r="G262" s="9">
        <v>60.036</v>
      </c>
      <c r="H262" s="8">
        <v>24.6</v>
      </c>
      <c r="I262" s="6">
        <v>2140.3</v>
      </c>
      <c r="J262" s="10">
        <f>Average(I261:I262)</f>
        <v>2139.4</v>
      </c>
    </row>
    <row r="263">
      <c r="G263" s="9"/>
      <c r="H263" s="8"/>
    </row>
    <row r="264">
      <c r="A264" s="5">
        <v>45571.0</v>
      </c>
      <c r="B264" s="6">
        <v>4.0</v>
      </c>
      <c r="C264" s="6" t="s">
        <v>14</v>
      </c>
      <c r="D264" s="6">
        <v>33.0</v>
      </c>
      <c r="E264" s="10">
        <f>52.963+180</f>
        <v>232.963</v>
      </c>
      <c r="F264" s="6">
        <v>1.0</v>
      </c>
      <c r="G264" s="9">
        <v>60.033</v>
      </c>
      <c r="H264" s="8">
        <v>24.7</v>
      </c>
      <c r="I264" s="6">
        <v>2098.0</v>
      </c>
    </row>
    <row r="265">
      <c r="A265" s="5">
        <v>45571.0</v>
      </c>
      <c r="B265" s="6">
        <v>4.0</v>
      </c>
      <c r="C265" s="6" t="s">
        <v>14</v>
      </c>
      <c r="D265" s="6">
        <v>33.0</v>
      </c>
      <c r="F265" s="6">
        <v>2.0</v>
      </c>
      <c r="G265" s="9">
        <v>60.022</v>
      </c>
      <c r="H265" s="8">
        <v>24.6</v>
      </c>
      <c r="I265" s="6">
        <v>2107.6</v>
      </c>
    </row>
    <row r="266">
      <c r="A266" s="5">
        <v>45571.0</v>
      </c>
      <c r="B266" s="6">
        <v>4.0</v>
      </c>
      <c r="C266" s="6" t="s">
        <v>14</v>
      </c>
      <c r="D266" s="6">
        <v>33.0</v>
      </c>
      <c r="F266" s="6">
        <v>3.0</v>
      </c>
      <c r="G266" s="9">
        <v>60.007</v>
      </c>
      <c r="H266" s="8">
        <v>24.8</v>
      </c>
      <c r="I266" s="6">
        <v>2087.1</v>
      </c>
      <c r="J266" s="10">
        <f>Average(I264,I266)</f>
        <v>2092.55</v>
      </c>
    </row>
    <row r="267">
      <c r="A267" s="5">
        <v>45571.0</v>
      </c>
      <c r="B267" s="6">
        <v>4.0</v>
      </c>
      <c r="C267" s="6" t="s">
        <v>11</v>
      </c>
      <c r="D267" s="6">
        <v>34.0</v>
      </c>
      <c r="E267" s="10">
        <f>60.705+180</f>
        <v>240.705</v>
      </c>
      <c r="F267" s="6">
        <v>1.0</v>
      </c>
      <c r="G267" s="9">
        <v>60.062</v>
      </c>
      <c r="H267" s="8">
        <v>24.6</v>
      </c>
      <c r="I267" s="6">
        <v>2165.3</v>
      </c>
    </row>
    <row r="268">
      <c r="A268" s="5">
        <v>45571.0</v>
      </c>
      <c r="B268" s="6">
        <v>4.0</v>
      </c>
      <c r="C268" s="6" t="s">
        <v>11</v>
      </c>
      <c r="D268" s="6">
        <v>34.0</v>
      </c>
      <c r="F268" s="6">
        <v>2.0</v>
      </c>
      <c r="G268" s="9">
        <v>60.024</v>
      </c>
      <c r="H268" s="8">
        <v>24.7</v>
      </c>
      <c r="I268" s="6">
        <v>2174.3</v>
      </c>
    </row>
    <row r="269">
      <c r="A269" s="5">
        <v>45571.0</v>
      </c>
      <c r="B269" s="6">
        <v>4.0</v>
      </c>
      <c r="C269" s="6" t="s">
        <v>11</v>
      </c>
      <c r="D269" s="12">
        <v>34.0</v>
      </c>
      <c r="F269" s="6">
        <v>3.0</v>
      </c>
      <c r="G269" s="9">
        <v>60.06</v>
      </c>
      <c r="H269" s="8">
        <v>24.8</v>
      </c>
      <c r="I269" s="6">
        <v>2170.3</v>
      </c>
      <c r="J269" s="10">
        <f>Average(I268:I269)</f>
        <v>2172.3</v>
      </c>
    </row>
    <row r="270">
      <c r="A270" s="5">
        <v>45571.0</v>
      </c>
      <c r="B270" s="6">
        <v>4.0</v>
      </c>
      <c r="C270" s="6" t="s">
        <v>11</v>
      </c>
      <c r="D270" s="12">
        <v>35.0</v>
      </c>
      <c r="E270" s="10">
        <f>65.809+180</f>
        <v>245.809</v>
      </c>
      <c r="F270" s="6">
        <v>1.0</v>
      </c>
      <c r="G270" s="9">
        <v>60.03</v>
      </c>
      <c r="H270" s="8">
        <v>24.8</v>
      </c>
      <c r="I270" s="6">
        <v>2128.8</v>
      </c>
    </row>
    <row r="271">
      <c r="A271" s="5">
        <v>45571.0</v>
      </c>
      <c r="B271" s="6">
        <v>4.0</v>
      </c>
      <c r="C271" s="6" t="s">
        <v>11</v>
      </c>
      <c r="D271" s="12">
        <v>35.0</v>
      </c>
      <c r="F271" s="6">
        <v>2.0</v>
      </c>
      <c r="G271" s="9">
        <v>60.055</v>
      </c>
      <c r="H271" s="8">
        <v>24.7</v>
      </c>
      <c r="I271" s="6">
        <v>2141.4</v>
      </c>
    </row>
    <row r="272">
      <c r="A272" s="5">
        <v>45571.0</v>
      </c>
      <c r="B272" s="6">
        <v>4.0</v>
      </c>
      <c r="C272" s="6" t="s">
        <v>11</v>
      </c>
      <c r="D272" s="12">
        <v>35.0</v>
      </c>
      <c r="F272" s="6">
        <v>3.0</v>
      </c>
      <c r="G272" s="9">
        <v>60.035</v>
      </c>
      <c r="H272" s="8">
        <v>25.0</v>
      </c>
      <c r="I272" s="6">
        <v>2144.0</v>
      </c>
      <c r="J272" s="10">
        <f>Average(I271:I272)</f>
        <v>2142.7</v>
      </c>
    </row>
    <row r="273">
      <c r="A273" s="5">
        <v>45571.0</v>
      </c>
      <c r="B273" s="6">
        <v>4.0</v>
      </c>
      <c r="C273" s="6" t="s">
        <v>14</v>
      </c>
      <c r="D273" s="12">
        <v>36.0</v>
      </c>
      <c r="E273" s="10">
        <f>61.144+180</f>
        <v>241.144</v>
      </c>
      <c r="F273" s="6">
        <v>1.0</v>
      </c>
      <c r="G273" s="9">
        <v>60.07</v>
      </c>
      <c r="H273" s="8">
        <v>24.9</v>
      </c>
      <c r="I273" s="6">
        <v>2116.1</v>
      </c>
    </row>
    <row r="274">
      <c r="A274" s="5">
        <v>45571.0</v>
      </c>
      <c r="B274" s="6">
        <v>4.0</v>
      </c>
      <c r="C274" s="6" t="s">
        <v>14</v>
      </c>
      <c r="D274" s="12">
        <v>36.0</v>
      </c>
      <c r="F274" s="6">
        <v>2.0</v>
      </c>
      <c r="G274" s="9">
        <v>60.025</v>
      </c>
      <c r="H274" s="8">
        <v>24.9</v>
      </c>
      <c r="I274" s="6">
        <v>2111.5</v>
      </c>
      <c r="J274" s="10">
        <f>Average(I273:I274)</f>
        <v>2113.8</v>
      </c>
    </row>
    <row r="275">
      <c r="A275" s="5">
        <v>45571.0</v>
      </c>
      <c r="B275" s="6">
        <v>4.0</v>
      </c>
      <c r="C275" s="6" t="s">
        <v>14</v>
      </c>
      <c r="D275" s="12">
        <v>36.0</v>
      </c>
      <c r="F275" s="6">
        <v>3.0</v>
      </c>
      <c r="G275" s="9">
        <v>60.002</v>
      </c>
      <c r="H275" s="8">
        <v>25.0</v>
      </c>
      <c r="I275" s="6">
        <v>2123.8</v>
      </c>
    </row>
    <row r="276">
      <c r="A276" s="5">
        <v>45571.0</v>
      </c>
      <c r="B276" s="6">
        <v>4.0</v>
      </c>
      <c r="C276" s="6" t="s">
        <v>11</v>
      </c>
      <c r="D276" s="12">
        <v>37.0</v>
      </c>
      <c r="E276" s="10">
        <f>57.428+180</f>
        <v>237.428</v>
      </c>
      <c r="F276" s="6">
        <v>1.0</v>
      </c>
      <c r="G276" s="9">
        <v>60.0</v>
      </c>
      <c r="H276" s="8">
        <v>24.8</v>
      </c>
      <c r="I276" s="6">
        <v>2194.2</v>
      </c>
    </row>
    <row r="277">
      <c r="A277" s="5">
        <v>45571.0</v>
      </c>
      <c r="B277" s="6">
        <v>4.0</v>
      </c>
      <c r="C277" s="6" t="s">
        <v>11</v>
      </c>
      <c r="D277" s="12">
        <v>37.0</v>
      </c>
      <c r="F277" s="6">
        <v>2.0</v>
      </c>
      <c r="G277" s="9">
        <v>60.004</v>
      </c>
      <c r="H277" s="8">
        <v>24.8</v>
      </c>
      <c r="I277" s="6">
        <v>2195.2</v>
      </c>
      <c r="J277" s="10">
        <f>Average(I276:I277)</f>
        <v>2194.7</v>
      </c>
    </row>
    <row r="278">
      <c r="A278" s="5">
        <v>45571.0</v>
      </c>
      <c r="B278" s="6">
        <v>4.0</v>
      </c>
      <c r="D278" s="12">
        <v>37.0</v>
      </c>
      <c r="F278" s="6">
        <v>3.0</v>
      </c>
      <c r="G278" s="9">
        <v>60.046</v>
      </c>
      <c r="H278" s="8"/>
    </row>
    <row r="279">
      <c r="A279" s="5">
        <v>45571.0</v>
      </c>
      <c r="B279" s="6">
        <v>4.0</v>
      </c>
      <c r="C279" s="6" t="s">
        <v>14</v>
      </c>
      <c r="D279" s="12">
        <v>38.0</v>
      </c>
      <c r="E279" s="10">
        <f>62.415+180</f>
        <v>242.415</v>
      </c>
      <c r="F279" s="6">
        <v>1.0</v>
      </c>
      <c r="G279" s="9">
        <v>60.035</v>
      </c>
      <c r="H279" s="8">
        <v>24.9</v>
      </c>
      <c r="I279" s="6">
        <v>2097.3</v>
      </c>
    </row>
    <row r="280">
      <c r="A280" s="5">
        <v>45571.0</v>
      </c>
      <c r="B280" s="6">
        <v>4.0</v>
      </c>
      <c r="C280" s="6" t="s">
        <v>14</v>
      </c>
      <c r="D280" s="12">
        <v>38.0</v>
      </c>
      <c r="F280" s="6">
        <v>2.0</v>
      </c>
      <c r="G280" s="9">
        <v>60.035</v>
      </c>
      <c r="H280" s="8">
        <v>24.7</v>
      </c>
      <c r="I280" s="6" t="s">
        <v>22</v>
      </c>
    </row>
    <row r="281">
      <c r="A281" s="5">
        <v>45571.0</v>
      </c>
      <c r="B281" s="6">
        <v>4.0</v>
      </c>
      <c r="C281" s="6" t="s">
        <v>14</v>
      </c>
      <c r="D281" s="6">
        <v>38.0</v>
      </c>
      <c r="F281" s="6">
        <v>3.0</v>
      </c>
      <c r="G281" s="9">
        <v>60.071</v>
      </c>
      <c r="H281" s="8">
        <v>25.0</v>
      </c>
      <c r="I281" s="6">
        <v>2142.7</v>
      </c>
      <c r="J281" s="20">
        <f>Average(I279,I281)</f>
        <v>2120</v>
      </c>
    </row>
    <row r="282">
      <c r="A282" s="5">
        <v>45571.0</v>
      </c>
      <c r="B282" s="6">
        <v>4.0</v>
      </c>
      <c r="C282" s="6" t="s">
        <v>11</v>
      </c>
      <c r="D282" s="6">
        <v>39.0</v>
      </c>
      <c r="E282" s="10">
        <f>61.026+180</f>
        <v>241.026</v>
      </c>
      <c r="F282" s="6">
        <v>1.0</v>
      </c>
      <c r="G282" s="9">
        <v>60.067</v>
      </c>
      <c r="H282" s="8">
        <v>25.0</v>
      </c>
      <c r="I282" s="6">
        <v>2119.4</v>
      </c>
    </row>
    <row r="283">
      <c r="A283" s="5">
        <v>45571.0</v>
      </c>
      <c r="B283" s="6">
        <v>4.0</v>
      </c>
      <c r="C283" s="6" t="s">
        <v>11</v>
      </c>
      <c r="D283" s="6">
        <v>39.0</v>
      </c>
      <c r="F283" s="6">
        <v>2.0</v>
      </c>
      <c r="G283" s="9">
        <v>60.043</v>
      </c>
      <c r="H283" s="8">
        <v>25.0</v>
      </c>
      <c r="I283" s="6">
        <v>2115.6</v>
      </c>
    </row>
    <row r="284">
      <c r="A284" s="5">
        <v>45571.0</v>
      </c>
      <c r="B284" s="6">
        <v>4.0</v>
      </c>
      <c r="C284" s="6" t="s">
        <v>11</v>
      </c>
      <c r="D284" s="6">
        <v>39.0</v>
      </c>
      <c r="F284" s="6">
        <v>3.0</v>
      </c>
      <c r="G284" s="9">
        <v>60.052</v>
      </c>
      <c r="H284" s="8">
        <v>25.0</v>
      </c>
      <c r="I284" s="6">
        <v>2118.5</v>
      </c>
      <c r="J284" s="10">
        <f>Average(I284,I282)</f>
        <v>2118.95</v>
      </c>
    </row>
    <row r="285">
      <c r="A285" s="5">
        <v>45571.0</v>
      </c>
      <c r="B285" s="6">
        <v>4.0</v>
      </c>
      <c r="C285" s="6" t="s">
        <v>14</v>
      </c>
      <c r="D285" s="1">
        <v>40.0</v>
      </c>
      <c r="F285" s="6">
        <v>1.0</v>
      </c>
      <c r="G285" s="9">
        <v>60.005</v>
      </c>
      <c r="H285" s="8" t="s">
        <v>23</v>
      </c>
      <c r="I285" s="6" t="s">
        <v>23</v>
      </c>
    </row>
    <row r="286">
      <c r="A286" s="5">
        <v>45571.0</v>
      </c>
      <c r="B286" s="6">
        <v>4.0</v>
      </c>
      <c r="C286" s="6" t="s">
        <v>14</v>
      </c>
      <c r="D286" s="1">
        <v>40.0</v>
      </c>
      <c r="F286" s="6">
        <v>2.0</v>
      </c>
      <c r="G286" s="9">
        <v>60.051</v>
      </c>
      <c r="H286" s="8">
        <v>25.1</v>
      </c>
      <c r="I286" s="6">
        <v>2173.4</v>
      </c>
    </row>
    <row r="287">
      <c r="A287" s="5">
        <v>45571.0</v>
      </c>
      <c r="B287" s="6">
        <v>4.0</v>
      </c>
      <c r="C287" s="6" t="s">
        <v>14</v>
      </c>
      <c r="D287" s="1">
        <v>40.0</v>
      </c>
      <c r="F287" s="6">
        <v>3.0</v>
      </c>
      <c r="G287" s="9">
        <v>60.054</v>
      </c>
      <c r="H287" s="8">
        <v>25.1</v>
      </c>
      <c r="I287" s="6">
        <v>2175.6</v>
      </c>
      <c r="J287" s="10">
        <f>Average(I286:I287)</f>
        <v>2174.5</v>
      </c>
    </row>
    <row r="288">
      <c r="A288" s="5">
        <v>45571.0</v>
      </c>
      <c r="B288" s="6">
        <v>4.0</v>
      </c>
      <c r="C288" s="6" t="s">
        <v>11</v>
      </c>
      <c r="D288" s="6">
        <v>41.0</v>
      </c>
      <c r="E288" s="10">
        <f>65.421+180</f>
        <v>245.421</v>
      </c>
      <c r="F288" s="6">
        <v>1.0</v>
      </c>
      <c r="G288" s="9">
        <v>60.04</v>
      </c>
      <c r="H288" s="8">
        <v>25.0</v>
      </c>
      <c r="I288" s="6">
        <v>2185.0</v>
      </c>
    </row>
    <row r="289">
      <c r="A289" s="5">
        <v>45571.0</v>
      </c>
      <c r="B289" s="6">
        <v>4.0</v>
      </c>
      <c r="C289" s="6" t="s">
        <v>11</v>
      </c>
      <c r="D289" s="6">
        <v>41.0</v>
      </c>
      <c r="F289" s="6">
        <v>2.0</v>
      </c>
      <c r="G289" s="9">
        <v>60.048</v>
      </c>
      <c r="H289" s="8">
        <v>25.1</v>
      </c>
      <c r="I289" s="6">
        <v>2187.8</v>
      </c>
      <c r="J289" s="10">
        <f>Average(I288:I289)</f>
        <v>2186.4</v>
      </c>
    </row>
    <row r="290">
      <c r="A290" s="5">
        <v>45571.0</v>
      </c>
      <c r="B290" s="6">
        <v>4.0</v>
      </c>
      <c r="D290" s="6">
        <v>41.0</v>
      </c>
      <c r="F290" s="6">
        <v>3.0</v>
      </c>
      <c r="G290" s="9">
        <v>60.036</v>
      </c>
      <c r="H290" s="8"/>
    </row>
    <row r="291">
      <c r="A291" s="5">
        <v>45571.0</v>
      </c>
      <c r="B291" s="6">
        <v>4.0</v>
      </c>
      <c r="C291" s="6" t="s">
        <v>14</v>
      </c>
      <c r="D291" s="6">
        <v>42.0</v>
      </c>
      <c r="E291" s="10">
        <f>64.043+180</f>
        <v>244.043</v>
      </c>
      <c r="F291" s="6">
        <v>1.0</v>
      </c>
      <c r="G291" s="9">
        <v>60.025</v>
      </c>
      <c r="H291" s="8">
        <v>25.1</v>
      </c>
      <c r="I291" s="6">
        <v>2157.2</v>
      </c>
    </row>
    <row r="292">
      <c r="A292" s="5">
        <v>45571.0</v>
      </c>
      <c r="B292" s="6">
        <v>4.0</v>
      </c>
      <c r="C292" s="6" t="s">
        <v>14</v>
      </c>
      <c r="D292" s="6">
        <v>42.0</v>
      </c>
      <c r="F292" s="6">
        <v>2.0</v>
      </c>
      <c r="G292" s="9">
        <v>60.026</v>
      </c>
      <c r="H292" s="8">
        <v>25.0</v>
      </c>
      <c r="I292" s="6">
        <v>2170.9</v>
      </c>
    </row>
    <row r="293">
      <c r="A293" s="5">
        <v>45571.0</v>
      </c>
      <c r="B293" s="6">
        <v>4.0</v>
      </c>
      <c r="C293" s="6" t="s">
        <v>14</v>
      </c>
      <c r="D293" s="6">
        <v>42.0</v>
      </c>
      <c r="F293" s="6">
        <v>3.0</v>
      </c>
      <c r="G293" s="9">
        <v>60.094</v>
      </c>
      <c r="H293" s="8">
        <v>25.3</v>
      </c>
      <c r="I293" s="6">
        <v>2155.8</v>
      </c>
      <c r="J293" s="10">
        <f>Average(I291,I293)</f>
        <v>2156.5</v>
      </c>
    </row>
    <row r="294">
      <c r="A294" s="5">
        <v>45571.0</v>
      </c>
      <c r="B294" s="6">
        <v>4.0</v>
      </c>
      <c r="C294" s="6" t="s">
        <v>11</v>
      </c>
      <c r="D294" s="6">
        <v>43.0</v>
      </c>
      <c r="E294" s="10">
        <f>50.02+180</f>
        <v>230.02</v>
      </c>
      <c r="F294" s="6">
        <v>1.0</v>
      </c>
      <c r="G294" s="9">
        <v>60.046</v>
      </c>
      <c r="H294" s="8">
        <v>25.1</v>
      </c>
      <c r="I294" s="6">
        <v>2166.0</v>
      </c>
    </row>
    <row r="295">
      <c r="A295" s="5">
        <v>45571.0</v>
      </c>
      <c r="B295" s="6">
        <v>4.0</v>
      </c>
      <c r="C295" s="6" t="s">
        <v>11</v>
      </c>
      <c r="D295" s="6">
        <v>43.0</v>
      </c>
      <c r="F295" s="6">
        <v>2.0</v>
      </c>
      <c r="G295" s="9">
        <v>60.03</v>
      </c>
      <c r="H295" s="8">
        <v>25.1</v>
      </c>
      <c r="I295" s="6">
        <v>2164.8</v>
      </c>
      <c r="J295" s="10">
        <f>Average(I294:I295)</f>
        <v>2165.4</v>
      </c>
    </row>
    <row r="296">
      <c r="A296" s="5"/>
      <c r="G296" s="9"/>
      <c r="H296" s="8"/>
    </row>
    <row r="297">
      <c r="A297" s="5">
        <v>45571.0</v>
      </c>
      <c r="B297" s="6">
        <v>4.0</v>
      </c>
      <c r="C297" s="6" t="s">
        <v>11</v>
      </c>
      <c r="D297" s="6">
        <v>44.0</v>
      </c>
      <c r="E297" s="10">
        <f>63.448+180</f>
        <v>243.448</v>
      </c>
      <c r="F297" s="6">
        <v>1.0</v>
      </c>
      <c r="G297" s="9">
        <v>60.024</v>
      </c>
      <c r="H297" s="8">
        <v>25.1</v>
      </c>
      <c r="I297" s="6">
        <v>2187.8</v>
      </c>
    </row>
    <row r="298">
      <c r="A298" s="5">
        <v>45571.0</v>
      </c>
      <c r="B298" s="6">
        <v>4.0</v>
      </c>
      <c r="C298" s="6" t="s">
        <v>11</v>
      </c>
      <c r="D298" s="6">
        <v>44.0</v>
      </c>
      <c r="F298" s="6">
        <v>2.0</v>
      </c>
      <c r="G298" s="9">
        <v>60.053</v>
      </c>
      <c r="H298" s="8">
        <v>25.0</v>
      </c>
      <c r="I298" s="6">
        <v>2186.1</v>
      </c>
      <c r="J298" s="10">
        <f>Average(I297:I298)</f>
        <v>2186.95</v>
      </c>
    </row>
    <row r="299">
      <c r="A299" s="5"/>
      <c r="G299" s="9"/>
      <c r="H299" s="8"/>
    </row>
    <row r="300">
      <c r="A300" s="5">
        <v>45571.0</v>
      </c>
      <c r="B300" s="6">
        <v>4.0</v>
      </c>
      <c r="C300" s="6" t="s">
        <v>14</v>
      </c>
      <c r="D300" s="6">
        <v>45.0</v>
      </c>
      <c r="E300" s="10">
        <f>62.093+180</f>
        <v>242.093</v>
      </c>
      <c r="F300" s="6">
        <v>1.0</v>
      </c>
      <c r="G300" s="9">
        <v>60.049</v>
      </c>
      <c r="H300" s="8">
        <v>25.1</v>
      </c>
      <c r="I300" s="6">
        <v>2152.5</v>
      </c>
    </row>
    <row r="301">
      <c r="A301" s="5">
        <v>45571.0</v>
      </c>
      <c r="B301" s="6">
        <v>4.0</v>
      </c>
      <c r="C301" s="6" t="s">
        <v>14</v>
      </c>
      <c r="D301" s="6">
        <v>45.0</v>
      </c>
      <c r="F301" s="6">
        <v>2.0</v>
      </c>
      <c r="G301" s="9">
        <v>60.041</v>
      </c>
      <c r="H301" s="8">
        <v>25.1</v>
      </c>
      <c r="I301" s="6">
        <v>2159.2</v>
      </c>
    </row>
    <row r="302">
      <c r="A302" s="5">
        <v>45571.0</v>
      </c>
      <c r="B302" s="6">
        <v>4.0</v>
      </c>
      <c r="C302" s="6" t="s">
        <v>14</v>
      </c>
      <c r="D302" s="6">
        <v>45.0</v>
      </c>
      <c r="F302" s="6">
        <v>3.0</v>
      </c>
      <c r="G302" s="9">
        <v>60.045</v>
      </c>
      <c r="H302" s="8">
        <v>25.3</v>
      </c>
      <c r="I302" s="6">
        <v>2152.3</v>
      </c>
      <c r="J302" s="10">
        <f>Average(I302,I300)</f>
        <v>2152.4</v>
      </c>
    </row>
    <row r="303">
      <c r="A303" s="5">
        <v>45571.0</v>
      </c>
      <c r="B303" s="6">
        <v>4.0</v>
      </c>
      <c r="C303" s="6" t="s">
        <v>11</v>
      </c>
      <c r="D303" s="6">
        <v>46.0</v>
      </c>
      <c r="E303" s="10">
        <f>54.909+180</f>
        <v>234.909</v>
      </c>
      <c r="F303" s="6">
        <v>1.0</v>
      </c>
      <c r="G303" s="9">
        <v>60.008</v>
      </c>
      <c r="H303" s="8">
        <v>25.0</v>
      </c>
      <c r="I303" s="6">
        <v>2174.2</v>
      </c>
    </row>
    <row r="304">
      <c r="A304" s="5">
        <v>45571.0</v>
      </c>
      <c r="B304" s="6">
        <v>4.0</v>
      </c>
      <c r="C304" s="6" t="s">
        <v>11</v>
      </c>
      <c r="D304" s="6">
        <v>46.0</v>
      </c>
      <c r="F304" s="6">
        <v>2.0</v>
      </c>
      <c r="G304" s="9">
        <v>60.028</v>
      </c>
      <c r="H304" s="8">
        <v>25.0</v>
      </c>
      <c r="I304" s="6">
        <v>2128.9</v>
      </c>
    </row>
    <row r="305">
      <c r="A305" s="5">
        <v>45571.0</v>
      </c>
      <c r="B305" s="6">
        <v>4.0</v>
      </c>
      <c r="C305" s="6" t="s">
        <v>11</v>
      </c>
      <c r="D305" s="6">
        <v>46.0</v>
      </c>
      <c r="F305" s="6">
        <v>3.0</v>
      </c>
      <c r="G305" s="9">
        <v>60.085</v>
      </c>
      <c r="H305" s="8">
        <v>25.1</v>
      </c>
      <c r="I305" s="6">
        <v>2176.6</v>
      </c>
      <c r="J305" s="10">
        <f>Average(I305,I303)</f>
        <v>2175.4</v>
      </c>
    </row>
    <row r="306">
      <c r="A306" s="5">
        <v>45571.0</v>
      </c>
      <c r="B306" s="6">
        <v>4.0</v>
      </c>
      <c r="C306" s="6" t="s">
        <v>14</v>
      </c>
      <c r="D306" s="6">
        <v>47.0</v>
      </c>
      <c r="E306" s="10">
        <f>60.094+180</f>
        <v>240.094</v>
      </c>
      <c r="F306" s="6">
        <v>1.0</v>
      </c>
      <c r="G306" s="9">
        <v>60.031</v>
      </c>
      <c r="H306" s="8">
        <v>25.0</v>
      </c>
      <c r="I306" s="6">
        <v>2163.4</v>
      </c>
    </row>
    <row r="307">
      <c r="A307" s="5">
        <v>45571.0</v>
      </c>
      <c r="B307" s="6">
        <v>4.0</v>
      </c>
      <c r="C307" s="6" t="s">
        <v>14</v>
      </c>
      <c r="D307" s="6">
        <v>47.0</v>
      </c>
      <c r="F307" s="6">
        <v>2.0</v>
      </c>
      <c r="G307" s="9">
        <v>60.041</v>
      </c>
      <c r="H307" s="8">
        <v>24.9</v>
      </c>
      <c r="I307" s="6">
        <v>2164.4</v>
      </c>
      <c r="J307" s="10">
        <f>Average(I306:I307)</f>
        <v>2163.9</v>
      </c>
    </row>
    <row r="308">
      <c r="A308" s="5"/>
      <c r="G308" s="9"/>
      <c r="H308" s="8"/>
    </row>
    <row r="309">
      <c r="A309" s="5">
        <v>45571.0</v>
      </c>
      <c r="B309" s="6">
        <v>4.0</v>
      </c>
      <c r="C309" s="6" t="s">
        <v>11</v>
      </c>
      <c r="D309" s="6">
        <v>48.0</v>
      </c>
      <c r="E309" s="10">
        <f>65.226+180</f>
        <v>245.226</v>
      </c>
      <c r="F309" s="6">
        <v>1.0</v>
      </c>
      <c r="G309" s="9">
        <v>60.015</v>
      </c>
      <c r="H309" s="8">
        <v>25.1</v>
      </c>
      <c r="I309" s="6">
        <v>2174.9</v>
      </c>
    </row>
    <row r="310">
      <c r="A310" s="5">
        <v>45571.0</v>
      </c>
      <c r="B310" s="6">
        <v>4.0</v>
      </c>
      <c r="C310" s="6" t="s">
        <v>11</v>
      </c>
      <c r="D310" s="6">
        <v>48.0</v>
      </c>
      <c r="F310" s="6">
        <v>2.0</v>
      </c>
      <c r="G310" s="9">
        <v>60.04</v>
      </c>
      <c r="H310" s="8">
        <v>25.1</v>
      </c>
      <c r="I310" s="6">
        <v>2179.6</v>
      </c>
      <c r="J310" s="10">
        <f>Average(I309:I310)</f>
        <v>2177.25</v>
      </c>
    </row>
    <row r="311">
      <c r="A311" s="5">
        <v>45571.0</v>
      </c>
      <c r="B311" s="6">
        <v>4.0</v>
      </c>
      <c r="C311" s="6" t="s">
        <v>11</v>
      </c>
      <c r="D311" s="6">
        <v>48.0</v>
      </c>
      <c r="F311" s="6">
        <v>3.0</v>
      </c>
      <c r="G311" s="9">
        <v>60.02</v>
      </c>
      <c r="H311" s="8">
        <v>25.1</v>
      </c>
      <c r="I311" s="6">
        <v>2170.6</v>
      </c>
    </row>
    <row r="312">
      <c r="A312" s="5">
        <v>45571.0</v>
      </c>
      <c r="B312" s="6">
        <v>4.0</v>
      </c>
      <c r="C312" s="6" t="s">
        <v>14</v>
      </c>
      <c r="D312" s="6">
        <v>49.0</v>
      </c>
      <c r="E312" s="10">
        <f>61.356+180</f>
        <v>241.356</v>
      </c>
      <c r="F312" s="6">
        <v>1.0</v>
      </c>
      <c r="G312" s="9">
        <v>60.085</v>
      </c>
      <c r="H312" s="8">
        <v>25.1</v>
      </c>
      <c r="I312" s="6">
        <v>2160.7</v>
      </c>
    </row>
    <row r="313">
      <c r="A313" s="5">
        <v>45571.0</v>
      </c>
      <c r="B313" s="6">
        <v>4.0</v>
      </c>
      <c r="C313" s="6" t="s">
        <v>14</v>
      </c>
      <c r="D313" s="6">
        <v>49.0</v>
      </c>
      <c r="F313" s="6">
        <v>2.0</v>
      </c>
      <c r="G313" s="9">
        <v>60.044</v>
      </c>
      <c r="H313" s="8">
        <v>25.0</v>
      </c>
      <c r="I313" s="6">
        <v>2164.7</v>
      </c>
    </row>
    <row r="314">
      <c r="A314" s="5">
        <v>45571.0</v>
      </c>
      <c r="B314" s="6">
        <v>4.0</v>
      </c>
      <c r="C314" s="6" t="s">
        <v>14</v>
      </c>
      <c r="D314" s="6">
        <v>49.0</v>
      </c>
      <c r="F314" s="6">
        <v>3.0</v>
      </c>
      <c r="G314" s="9">
        <v>60.047</v>
      </c>
      <c r="H314" s="8">
        <v>25.0</v>
      </c>
      <c r="I314" s="6">
        <v>2162.0</v>
      </c>
      <c r="J314" s="10">
        <f>Average(I312,I314)</f>
        <v>2161.35</v>
      </c>
    </row>
    <row r="315">
      <c r="A315" s="5">
        <v>45571.0</v>
      </c>
      <c r="B315" s="6">
        <v>4.0</v>
      </c>
      <c r="C315" s="6" t="s">
        <v>11</v>
      </c>
      <c r="D315" s="6">
        <v>50.0</v>
      </c>
      <c r="E315" s="10">
        <f>59.203+180</f>
        <v>239.203</v>
      </c>
      <c r="F315" s="6">
        <v>1.0</v>
      </c>
      <c r="G315" s="9">
        <v>60.019</v>
      </c>
      <c r="H315" s="8">
        <v>25.0</v>
      </c>
      <c r="I315" s="6">
        <v>2187.5</v>
      </c>
    </row>
    <row r="316">
      <c r="A316" s="5">
        <v>45571.0</v>
      </c>
      <c r="B316" s="6">
        <v>4.0</v>
      </c>
      <c r="C316" s="6" t="s">
        <v>11</v>
      </c>
      <c r="D316" s="6">
        <v>50.0</v>
      </c>
      <c r="F316" s="6">
        <v>2.0</v>
      </c>
      <c r="G316" s="9">
        <v>60.029</v>
      </c>
      <c r="H316" s="8">
        <v>24.9</v>
      </c>
      <c r="I316" s="6">
        <v>2185.3</v>
      </c>
      <c r="J316" s="10">
        <f>Average(I315:I316)</f>
        <v>2186.4</v>
      </c>
    </row>
    <row r="317">
      <c r="A317" s="5"/>
      <c r="G317" s="9"/>
      <c r="H317" s="8"/>
    </row>
    <row r="318">
      <c r="A318" s="5">
        <v>45571.0</v>
      </c>
      <c r="B318" s="6">
        <v>4.0</v>
      </c>
      <c r="C318" s="6" t="s">
        <v>14</v>
      </c>
      <c r="D318" s="6">
        <v>51.0</v>
      </c>
      <c r="E318" s="10">
        <f>63.008+180</f>
        <v>243.008</v>
      </c>
      <c r="F318" s="6">
        <v>1.0</v>
      </c>
      <c r="G318" s="9">
        <v>60.002</v>
      </c>
      <c r="H318" s="8">
        <v>25.1</v>
      </c>
      <c r="I318" s="6">
        <v>2157.2</v>
      </c>
    </row>
    <row r="319">
      <c r="A319" s="5">
        <v>45571.0</v>
      </c>
      <c r="B319" s="6">
        <v>4.0</v>
      </c>
      <c r="C319" s="6" t="s">
        <v>14</v>
      </c>
      <c r="D319" s="6">
        <v>51.0</v>
      </c>
      <c r="F319" s="6">
        <v>2.0</v>
      </c>
      <c r="G319" s="9">
        <v>60.065</v>
      </c>
      <c r="H319" s="8">
        <v>25.0</v>
      </c>
      <c r="I319" s="6">
        <v>2148.5</v>
      </c>
    </row>
    <row r="320">
      <c r="A320" s="5">
        <v>45571.0</v>
      </c>
      <c r="B320" s="6">
        <v>4.0</v>
      </c>
      <c r="C320" s="6" t="s">
        <v>14</v>
      </c>
      <c r="D320" s="6">
        <v>51.0</v>
      </c>
      <c r="F320" s="6">
        <v>3.0</v>
      </c>
      <c r="G320" s="9">
        <v>60.04</v>
      </c>
      <c r="H320" s="8">
        <v>25.3</v>
      </c>
      <c r="I320" s="6">
        <v>2164.4</v>
      </c>
      <c r="J320" s="10">
        <f>Average(I318,I320)</f>
        <v>2160.8</v>
      </c>
    </row>
    <row r="321">
      <c r="A321" s="5">
        <v>45571.0</v>
      </c>
      <c r="B321" s="6">
        <v>4.0</v>
      </c>
      <c r="C321" s="6" t="s">
        <v>11</v>
      </c>
      <c r="D321" s="6">
        <v>52.0</v>
      </c>
      <c r="E321" s="10">
        <f>59.596+180</f>
        <v>239.596</v>
      </c>
      <c r="F321" s="6">
        <v>1.0</v>
      </c>
      <c r="G321" s="9">
        <v>60.051</v>
      </c>
      <c r="H321" s="8">
        <v>25.0</v>
      </c>
      <c r="I321" s="6">
        <v>2167.0</v>
      </c>
    </row>
    <row r="322">
      <c r="A322" s="5">
        <v>45571.0</v>
      </c>
      <c r="B322" s="6">
        <v>4.0</v>
      </c>
      <c r="C322" s="6" t="s">
        <v>11</v>
      </c>
      <c r="D322" s="6">
        <v>52.0</v>
      </c>
      <c r="F322" s="6">
        <v>2.0</v>
      </c>
      <c r="G322" s="9">
        <v>60.019</v>
      </c>
      <c r="H322" s="8">
        <v>25.0</v>
      </c>
      <c r="I322" s="6">
        <v>2166.8</v>
      </c>
      <c r="J322" s="10">
        <f>Average(I321:I322)</f>
        <v>2166.9</v>
      </c>
    </row>
    <row r="323">
      <c r="A323" s="5"/>
      <c r="G323" s="9"/>
      <c r="H323" s="11"/>
    </row>
    <row r="330">
      <c r="A330" s="5"/>
      <c r="G330" s="9"/>
      <c r="H330" s="8"/>
    </row>
    <row r="333">
      <c r="A333" s="5"/>
      <c r="G333" s="9"/>
      <c r="H333" s="8"/>
    </row>
    <row r="336">
      <c r="A336" s="5"/>
      <c r="G336" s="9"/>
      <c r="H336" s="8"/>
    </row>
    <row r="340">
      <c r="A340" s="5"/>
      <c r="G340" s="9"/>
      <c r="H340" s="8"/>
    </row>
    <row r="341">
      <c r="A341" s="5"/>
      <c r="G341" s="9"/>
      <c r="H341" s="8"/>
    </row>
    <row r="342">
      <c r="A342" s="5"/>
      <c r="G342" s="9"/>
      <c r="H342" s="8"/>
    </row>
    <row r="343">
      <c r="A343" s="5"/>
      <c r="G343" s="9"/>
      <c r="H343" s="8"/>
    </row>
    <row r="344">
      <c r="A344" s="5"/>
      <c r="G344" s="9"/>
      <c r="H344" s="8"/>
    </row>
    <row r="345">
      <c r="A345" s="5"/>
      <c r="G345" s="9"/>
      <c r="H345" s="8"/>
    </row>
    <row r="346">
      <c r="A346" s="5"/>
      <c r="G346" s="9"/>
      <c r="H346" s="8"/>
    </row>
    <row r="347">
      <c r="A347" s="5"/>
      <c r="G347" s="9"/>
      <c r="H347" s="11"/>
    </row>
    <row r="348">
      <c r="A348" s="5"/>
      <c r="G348" s="9"/>
      <c r="H348" s="8"/>
    </row>
    <row r="349">
      <c r="A349" s="5"/>
      <c r="G349" s="9"/>
      <c r="H349" s="8"/>
    </row>
    <row r="350">
      <c r="A350" s="5"/>
      <c r="G350" s="9"/>
      <c r="H350" s="8"/>
    </row>
    <row r="351">
      <c r="A351" s="5"/>
      <c r="D351" s="1"/>
      <c r="G351" s="9"/>
      <c r="H351" s="8"/>
    </row>
    <row r="352">
      <c r="A352" s="5"/>
      <c r="D352" s="1"/>
      <c r="G352" s="9"/>
      <c r="H352" s="8"/>
    </row>
    <row r="353">
      <c r="A353" s="5"/>
      <c r="D353" s="1"/>
      <c r="G353" s="9"/>
      <c r="H353" s="8"/>
    </row>
    <row r="354">
      <c r="A354" s="5"/>
      <c r="G354" s="9"/>
      <c r="H354" s="8"/>
    </row>
    <row r="355">
      <c r="A355" s="5"/>
      <c r="G355" s="9"/>
      <c r="H355" s="8"/>
    </row>
    <row r="356">
      <c r="A356" s="5"/>
      <c r="G356" s="9"/>
      <c r="H356" s="8"/>
    </row>
    <row r="357">
      <c r="A357" s="5"/>
      <c r="G357" s="9"/>
      <c r="H357" s="8"/>
    </row>
    <row r="358">
      <c r="A358" s="5"/>
      <c r="G358" s="9"/>
      <c r="H358" s="8"/>
    </row>
    <row r="359">
      <c r="A359" s="5"/>
      <c r="G359" s="9"/>
      <c r="H359" s="8"/>
    </row>
    <row r="360">
      <c r="A360" s="5"/>
      <c r="G360" s="9"/>
      <c r="H360" s="8"/>
    </row>
    <row r="361">
      <c r="A361" s="5"/>
      <c r="G361" s="9"/>
      <c r="H361" s="8"/>
    </row>
    <row r="362">
      <c r="A362" s="5"/>
      <c r="G362" s="9"/>
      <c r="H362" s="11"/>
    </row>
    <row r="363">
      <c r="A363" s="5"/>
      <c r="G363" s="9"/>
      <c r="H363" s="8"/>
    </row>
    <row r="364">
      <c r="A364" s="5"/>
      <c r="G364" s="9"/>
      <c r="H364" s="8"/>
    </row>
    <row r="365">
      <c r="A365" s="5"/>
      <c r="G365" s="9"/>
      <c r="H365" s="8"/>
    </row>
    <row r="366">
      <c r="A366" s="5"/>
      <c r="G366" s="9"/>
      <c r="H366" s="8"/>
    </row>
    <row r="367">
      <c r="A367" s="5"/>
      <c r="G367" s="9"/>
      <c r="H367" s="8"/>
    </row>
    <row r="368">
      <c r="A368" s="5"/>
      <c r="G368" s="9"/>
      <c r="H368" s="11"/>
    </row>
    <row r="369">
      <c r="G369" s="21"/>
      <c r="H369" s="11"/>
    </row>
    <row r="370">
      <c r="G370" s="21"/>
      <c r="H370" s="11"/>
    </row>
    <row r="371">
      <c r="G371" s="21"/>
      <c r="H371" s="11"/>
    </row>
    <row r="372">
      <c r="G372" s="21"/>
      <c r="H372" s="11"/>
    </row>
    <row r="373">
      <c r="G373" s="21"/>
      <c r="H373" s="11"/>
    </row>
    <row r="374">
      <c r="G374" s="21"/>
      <c r="H374" s="11"/>
    </row>
    <row r="375">
      <c r="G375" s="21"/>
      <c r="H375" s="11"/>
    </row>
    <row r="376">
      <c r="G376" s="21"/>
      <c r="H376" s="11"/>
    </row>
    <row r="377">
      <c r="G377" s="21"/>
      <c r="H377" s="11"/>
    </row>
    <row r="378">
      <c r="G378" s="21"/>
      <c r="H378" s="11"/>
    </row>
    <row r="379">
      <c r="G379" s="21"/>
      <c r="H379" s="11"/>
    </row>
    <row r="380">
      <c r="G380" s="21"/>
      <c r="H380" s="11"/>
    </row>
    <row r="381">
      <c r="G381" s="21"/>
      <c r="H381" s="11"/>
    </row>
    <row r="382">
      <c r="G382" s="21"/>
      <c r="H382" s="11"/>
    </row>
    <row r="383">
      <c r="G383" s="21"/>
      <c r="H383" s="11"/>
    </row>
    <row r="384">
      <c r="G384" s="21"/>
      <c r="H384" s="11"/>
    </row>
    <row r="385">
      <c r="G385" s="21"/>
      <c r="H385" s="11"/>
    </row>
    <row r="386">
      <c r="G386" s="21"/>
      <c r="H386" s="11"/>
    </row>
    <row r="387">
      <c r="G387" s="21"/>
      <c r="H387" s="11"/>
    </row>
    <row r="388">
      <c r="G388" s="21"/>
      <c r="H388" s="11"/>
    </row>
    <row r="389">
      <c r="G389" s="21"/>
      <c r="H389" s="11"/>
    </row>
    <row r="390">
      <c r="G390" s="21"/>
      <c r="H390" s="11"/>
    </row>
    <row r="391">
      <c r="G391" s="21"/>
      <c r="H391" s="11"/>
    </row>
    <row r="392">
      <c r="G392" s="21"/>
      <c r="H392" s="11"/>
    </row>
    <row r="393">
      <c r="G393" s="21"/>
      <c r="H393" s="11"/>
    </row>
    <row r="394">
      <c r="G394" s="21"/>
      <c r="H394" s="11"/>
    </row>
    <row r="395">
      <c r="G395" s="21"/>
      <c r="H395" s="11"/>
    </row>
    <row r="396">
      <c r="G396" s="21"/>
      <c r="H396" s="11"/>
    </row>
    <row r="397">
      <c r="G397" s="21"/>
      <c r="H397" s="11"/>
    </row>
    <row r="398">
      <c r="G398" s="21"/>
      <c r="H398" s="11"/>
    </row>
    <row r="399">
      <c r="G399" s="21"/>
      <c r="H399" s="11"/>
    </row>
    <row r="400">
      <c r="G400" s="21"/>
      <c r="H400" s="11"/>
    </row>
    <row r="401">
      <c r="G401" s="21"/>
      <c r="H401" s="11"/>
    </row>
    <row r="402">
      <c r="G402" s="21"/>
      <c r="H402" s="11"/>
    </row>
    <row r="403">
      <c r="G403" s="21"/>
      <c r="H403" s="11"/>
    </row>
    <row r="404">
      <c r="G404" s="21"/>
      <c r="H404" s="11"/>
    </row>
    <row r="405">
      <c r="G405" s="21"/>
      <c r="H405" s="11"/>
    </row>
    <row r="406">
      <c r="G406" s="21"/>
      <c r="H406" s="11"/>
    </row>
    <row r="407">
      <c r="G407" s="21"/>
      <c r="H407" s="11"/>
    </row>
    <row r="408">
      <c r="G408" s="21"/>
      <c r="H408" s="11"/>
    </row>
    <row r="409">
      <c r="G409" s="21"/>
      <c r="H409" s="11"/>
    </row>
    <row r="410">
      <c r="G410" s="21"/>
      <c r="H410" s="11"/>
    </row>
    <row r="411">
      <c r="G411" s="21"/>
      <c r="H411" s="11"/>
    </row>
    <row r="412">
      <c r="G412" s="21"/>
      <c r="H412" s="11"/>
    </row>
    <row r="413">
      <c r="G413" s="21"/>
      <c r="H413" s="11"/>
    </row>
    <row r="414">
      <c r="G414" s="21"/>
      <c r="H414" s="11"/>
    </row>
    <row r="415">
      <c r="G415" s="21"/>
      <c r="H415" s="11"/>
    </row>
    <row r="416">
      <c r="G416" s="21"/>
      <c r="H416" s="11"/>
    </row>
    <row r="417">
      <c r="G417" s="21"/>
      <c r="H417" s="11"/>
    </row>
    <row r="418">
      <c r="G418" s="21"/>
      <c r="H418" s="11"/>
    </row>
    <row r="419">
      <c r="G419" s="21"/>
      <c r="H419" s="11"/>
    </row>
    <row r="420">
      <c r="G420" s="21"/>
      <c r="H420" s="11"/>
    </row>
    <row r="421">
      <c r="G421" s="21"/>
      <c r="H421" s="11"/>
    </row>
    <row r="422">
      <c r="G422" s="21"/>
      <c r="H422" s="11"/>
    </row>
    <row r="423">
      <c r="G423" s="21"/>
      <c r="H423" s="11"/>
    </row>
    <row r="424">
      <c r="G424" s="21"/>
      <c r="H424" s="11"/>
    </row>
    <row r="425">
      <c r="G425" s="21"/>
      <c r="H425" s="11"/>
    </row>
    <row r="426">
      <c r="G426" s="21"/>
      <c r="H426" s="11"/>
    </row>
    <row r="427">
      <c r="G427" s="21"/>
      <c r="H427" s="11"/>
    </row>
    <row r="428">
      <c r="G428" s="21"/>
      <c r="H428" s="11"/>
    </row>
    <row r="429">
      <c r="G429" s="21"/>
      <c r="H429" s="11"/>
    </row>
    <row r="430">
      <c r="G430" s="21"/>
      <c r="H430" s="11"/>
    </row>
    <row r="431">
      <c r="G431" s="21"/>
      <c r="H431" s="11"/>
    </row>
    <row r="432">
      <c r="G432" s="21"/>
      <c r="H432" s="11"/>
    </row>
    <row r="433">
      <c r="G433" s="21"/>
      <c r="H433" s="11"/>
    </row>
    <row r="434">
      <c r="G434" s="21"/>
      <c r="H434" s="11"/>
    </row>
    <row r="435">
      <c r="G435" s="21"/>
      <c r="H435" s="11"/>
    </row>
    <row r="436">
      <c r="G436" s="21"/>
      <c r="H436" s="11"/>
    </row>
    <row r="437">
      <c r="G437" s="21"/>
      <c r="H437" s="11"/>
    </row>
    <row r="438">
      <c r="G438" s="21"/>
      <c r="H438" s="11"/>
    </row>
    <row r="439">
      <c r="G439" s="21"/>
      <c r="H439" s="11"/>
    </row>
    <row r="440">
      <c r="G440" s="21"/>
      <c r="H440" s="11"/>
    </row>
    <row r="441">
      <c r="G441" s="21"/>
      <c r="H441" s="11"/>
    </row>
    <row r="442">
      <c r="G442" s="21"/>
      <c r="H442" s="11"/>
    </row>
    <row r="443">
      <c r="G443" s="21"/>
      <c r="H443" s="11"/>
    </row>
    <row r="444">
      <c r="G444" s="21"/>
      <c r="H444" s="11"/>
    </row>
    <row r="445">
      <c r="G445" s="21"/>
      <c r="H445" s="11"/>
    </row>
    <row r="446">
      <c r="G446" s="21"/>
      <c r="H446" s="11"/>
    </row>
    <row r="447">
      <c r="G447" s="21"/>
      <c r="H447" s="11"/>
    </row>
    <row r="448">
      <c r="G448" s="21"/>
      <c r="H448" s="11"/>
    </row>
    <row r="449">
      <c r="G449" s="21"/>
      <c r="H449" s="11"/>
    </row>
    <row r="450">
      <c r="G450" s="21"/>
      <c r="H450" s="11"/>
    </row>
    <row r="451">
      <c r="G451" s="21"/>
      <c r="H451" s="11"/>
    </row>
    <row r="452">
      <c r="G452" s="21"/>
      <c r="H452" s="11"/>
    </row>
    <row r="453">
      <c r="G453" s="21"/>
      <c r="H453" s="11"/>
    </row>
    <row r="454">
      <c r="G454" s="21"/>
      <c r="H454" s="11"/>
    </row>
    <row r="455">
      <c r="G455" s="21"/>
      <c r="H455" s="11"/>
    </row>
    <row r="456">
      <c r="G456" s="21"/>
      <c r="H456" s="11"/>
    </row>
    <row r="457">
      <c r="G457" s="21"/>
      <c r="H457" s="11"/>
    </row>
    <row r="458">
      <c r="G458" s="21"/>
      <c r="H458" s="11"/>
    </row>
    <row r="459">
      <c r="G459" s="21"/>
      <c r="H459" s="11"/>
    </row>
    <row r="460">
      <c r="G460" s="21"/>
      <c r="H460" s="11"/>
    </row>
    <row r="461">
      <c r="G461" s="21"/>
      <c r="H461" s="11"/>
    </row>
    <row r="462">
      <c r="G462" s="21"/>
      <c r="H462" s="11"/>
    </row>
    <row r="463">
      <c r="G463" s="21"/>
      <c r="H463" s="11"/>
    </row>
    <row r="464">
      <c r="G464" s="21"/>
      <c r="H464" s="11"/>
    </row>
    <row r="465">
      <c r="G465" s="21"/>
      <c r="H465" s="11"/>
    </row>
    <row r="466">
      <c r="G466" s="21"/>
      <c r="H466" s="11"/>
    </row>
    <row r="467">
      <c r="G467" s="21"/>
      <c r="H467" s="11"/>
    </row>
    <row r="468">
      <c r="G468" s="21"/>
      <c r="H468" s="11"/>
    </row>
    <row r="469">
      <c r="G469" s="21"/>
      <c r="H469" s="11"/>
    </row>
    <row r="470">
      <c r="G470" s="21"/>
      <c r="H470" s="11"/>
    </row>
    <row r="471">
      <c r="G471" s="21"/>
      <c r="H471" s="11"/>
    </row>
    <row r="472">
      <c r="G472" s="21"/>
      <c r="H472" s="11"/>
    </row>
    <row r="473">
      <c r="G473" s="21"/>
      <c r="H473" s="11"/>
    </row>
    <row r="474">
      <c r="G474" s="21"/>
      <c r="H474" s="11"/>
    </row>
    <row r="475">
      <c r="G475" s="21"/>
      <c r="H475" s="11"/>
    </row>
    <row r="476">
      <c r="G476" s="21"/>
      <c r="H476" s="11"/>
    </row>
    <row r="477">
      <c r="G477" s="21"/>
      <c r="H477" s="11"/>
    </row>
    <row r="478">
      <c r="G478" s="21"/>
      <c r="H478" s="11"/>
    </row>
    <row r="479">
      <c r="G479" s="21"/>
      <c r="H479" s="11"/>
    </row>
    <row r="480">
      <c r="G480" s="21"/>
      <c r="H480" s="11"/>
    </row>
    <row r="481">
      <c r="G481" s="21"/>
      <c r="H481" s="11"/>
    </row>
    <row r="482">
      <c r="G482" s="21"/>
      <c r="H482" s="11"/>
    </row>
    <row r="483">
      <c r="G483" s="21"/>
      <c r="H483" s="11"/>
    </row>
    <row r="484">
      <c r="G484" s="21"/>
      <c r="H484" s="11"/>
    </row>
    <row r="485">
      <c r="G485" s="21"/>
      <c r="H485" s="11"/>
    </row>
    <row r="486">
      <c r="G486" s="21"/>
      <c r="H486" s="11"/>
    </row>
    <row r="487">
      <c r="G487" s="21"/>
      <c r="H487" s="11"/>
    </row>
    <row r="488">
      <c r="G488" s="21"/>
      <c r="H488" s="11"/>
    </row>
    <row r="489">
      <c r="G489" s="21"/>
      <c r="H489" s="11"/>
    </row>
    <row r="490">
      <c r="G490" s="21"/>
      <c r="H490" s="11"/>
    </row>
    <row r="491">
      <c r="G491" s="21"/>
      <c r="H491" s="11"/>
    </row>
    <row r="492">
      <c r="G492" s="21"/>
      <c r="H492" s="11"/>
    </row>
    <row r="493">
      <c r="G493" s="21"/>
      <c r="H493" s="11"/>
    </row>
    <row r="494">
      <c r="G494" s="21"/>
      <c r="H494" s="11"/>
    </row>
    <row r="495">
      <c r="G495" s="21"/>
      <c r="H495" s="11"/>
    </row>
    <row r="496">
      <c r="G496" s="21"/>
      <c r="H496" s="11"/>
    </row>
    <row r="497">
      <c r="G497" s="21"/>
      <c r="H497" s="11"/>
    </row>
    <row r="498">
      <c r="G498" s="21"/>
      <c r="H498" s="11"/>
    </row>
    <row r="499">
      <c r="G499" s="21"/>
      <c r="H499" s="11"/>
    </row>
    <row r="500">
      <c r="G500" s="21"/>
      <c r="H500" s="11"/>
    </row>
    <row r="501">
      <c r="G501" s="21"/>
      <c r="H501" s="11"/>
    </row>
    <row r="502">
      <c r="G502" s="21"/>
      <c r="H502" s="11"/>
    </row>
    <row r="503">
      <c r="G503" s="21"/>
      <c r="H503" s="11"/>
    </row>
    <row r="504">
      <c r="G504" s="21"/>
      <c r="H504" s="11"/>
    </row>
    <row r="505">
      <c r="G505" s="21"/>
      <c r="H505" s="11"/>
    </row>
    <row r="506">
      <c r="G506" s="21"/>
      <c r="H506" s="11"/>
    </row>
    <row r="507">
      <c r="G507" s="21"/>
      <c r="H507" s="11"/>
    </row>
    <row r="508">
      <c r="G508" s="21"/>
      <c r="H508" s="11"/>
    </row>
    <row r="509">
      <c r="G509" s="21"/>
      <c r="H509" s="11"/>
    </row>
    <row r="510">
      <c r="G510" s="21"/>
      <c r="H510" s="11"/>
    </row>
    <row r="511">
      <c r="G511" s="21"/>
      <c r="H511" s="11"/>
    </row>
    <row r="512">
      <c r="G512" s="21"/>
      <c r="H512" s="11"/>
    </row>
    <row r="513">
      <c r="G513" s="21"/>
      <c r="H513" s="11"/>
    </row>
    <row r="514">
      <c r="G514" s="21"/>
      <c r="H514" s="11"/>
    </row>
    <row r="515">
      <c r="G515" s="21"/>
      <c r="H515" s="11"/>
    </row>
    <row r="516">
      <c r="G516" s="21"/>
      <c r="H516" s="11"/>
    </row>
    <row r="517">
      <c r="G517" s="21"/>
      <c r="H517" s="11"/>
    </row>
    <row r="518">
      <c r="G518" s="21"/>
      <c r="H518" s="11"/>
    </row>
    <row r="519">
      <c r="G519" s="21"/>
      <c r="H519" s="11"/>
    </row>
    <row r="520">
      <c r="G520" s="21"/>
      <c r="H520" s="11"/>
    </row>
    <row r="521">
      <c r="G521" s="21"/>
      <c r="H521" s="11"/>
    </row>
    <row r="522">
      <c r="G522" s="21"/>
      <c r="H522" s="11"/>
    </row>
    <row r="523">
      <c r="G523" s="21"/>
      <c r="H523" s="11"/>
    </row>
    <row r="524">
      <c r="G524" s="21"/>
      <c r="H524" s="11"/>
    </row>
    <row r="525">
      <c r="G525" s="21"/>
      <c r="H525" s="11"/>
    </row>
    <row r="526">
      <c r="G526" s="21"/>
      <c r="H526" s="11"/>
    </row>
    <row r="527">
      <c r="G527" s="21"/>
      <c r="H527" s="11"/>
    </row>
    <row r="528">
      <c r="G528" s="21"/>
      <c r="H528" s="11"/>
    </row>
    <row r="529">
      <c r="G529" s="21"/>
      <c r="H529" s="11"/>
    </row>
    <row r="530">
      <c r="G530" s="21"/>
      <c r="H530" s="11"/>
    </row>
    <row r="531">
      <c r="G531" s="21"/>
      <c r="H531" s="11"/>
    </row>
    <row r="532">
      <c r="G532" s="21"/>
      <c r="H532" s="11"/>
    </row>
    <row r="533">
      <c r="G533" s="21"/>
      <c r="H533" s="11"/>
    </row>
    <row r="534">
      <c r="G534" s="21"/>
      <c r="H534" s="11"/>
    </row>
    <row r="535">
      <c r="G535" s="21"/>
      <c r="H535" s="11"/>
    </row>
    <row r="536">
      <c r="G536" s="21"/>
      <c r="H536" s="11"/>
    </row>
    <row r="537">
      <c r="G537" s="21"/>
      <c r="H537" s="11"/>
    </row>
    <row r="538">
      <c r="G538" s="21"/>
      <c r="H538" s="11"/>
    </row>
    <row r="539">
      <c r="G539" s="21"/>
      <c r="H539" s="11"/>
    </row>
    <row r="540">
      <c r="G540" s="21"/>
      <c r="H540" s="11"/>
    </row>
    <row r="541">
      <c r="G541" s="21"/>
      <c r="H541" s="11"/>
    </row>
    <row r="542">
      <c r="G542" s="21"/>
      <c r="H542" s="11"/>
    </row>
    <row r="543">
      <c r="G543" s="21"/>
      <c r="H543" s="11"/>
    </row>
    <row r="544">
      <c r="G544" s="21"/>
      <c r="H544" s="11"/>
    </row>
    <row r="545">
      <c r="G545" s="21"/>
      <c r="H545" s="11"/>
    </row>
    <row r="546">
      <c r="G546" s="21"/>
      <c r="H546" s="11"/>
    </row>
    <row r="547">
      <c r="G547" s="21"/>
      <c r="H547" s="11"/>
    </row>
    <row r="548">
      <c r="G548" s="21"/>
      <c r="H548" s="11"/>
    </row>
    <row r="549">
      <c r="G549" s="21"/>
      <c r="H549" s="11"/>
    </row>
    <row r="550">
      <c r="G550" s="21"/>
      <c r="H550" s="11"/>
    </row>
    <row r="551">
      <c r="G551" s="21"/>
      <c r="H551" s="11"/>
    </row>
    <row r="552">
      <c r="G552" s="21"/>
      <c r="H552" s="11"/>
    </row>
    <row r="553">
      <c r="G553" s="21"/>
      <c r="H553" s="11"/>
    </row>
    <row r="554">
      <c r="G554" s="21"/>
      <c r="H554" s="11"/>
    </row>
    <row r="555">
      <c r="G555" s="21"/>
      <c r="H555" s="11"/>
    </row>
    <row r="556">
      <c r="G556" s="21"/>
      <c r="H556" s="11"/>
    </row>
    <row r="557">
      <c r="G557" s="21"/>
      <c r="H557" s="11"/>
    </row>
    <row r="558">
      <c r="G558" s="21"/>
      <c r="H558" s="11"/>
    </row>
    <row r="559">
      <c r="G559" s="21"/>
      <c r="H559" s="11"/>
    </row>
    <row r="560">
      <c r="G560" s="21"/>
      <c r="H560" s="11"/>
    </row>
    <row r="561">
      <c r="G561" s="21"/>
      <c r="H561" s="11"/>
    </row>
    <row r="562">
      <c r="G562" s="21"/>
      <c r="H562" s="11"/>
    </row>
    <row r="563">
      <c r="G563" s="21"/>
      <c r="H563" s="11"/>
    </row>
    <row r="564">
      <c r="G564" s="21"/>
      <c r="H564" s="11"/>
    </row>
    <row r="565">
      <c r="G565" s="21"/>
      <c r="H565" s="11"/>
    </row>
    <row r="566">
      <c r="G566" s="21"/>
      <c r="H566" s="11"/>
    </row>
    <row r="567">
      <c r="G567" s="21"/>
      <c r="H567" s="11"/>
    </row>
    <row r="568">
      <c r="G568" s="21"/>
      <c r="H568" s="11"/>
    </row>
    <row r="569">
      <c r="G569" s="21"/>
      <c r="H569" s="11"/>
    </row>
    <row r="570">
      <c r="G570" s="21"/>
      <c r="H570" s="11"/>
    </row>
    <row r="571">
      <c r="G571" s="21"/>
      <c r="H571" s="11"/>
    </row>
    <row r="572">
      <c r="G572" s="21"/>
      <c r="H572" s="11"/>
    </row>
    <row r="573">
      <c r="G573" s="21"/>
      <c r="H573" s="11"/>
    </row>
    <row r="574">
      <c r="G574" s="21"/>
      <c r="H574" s="11"/>
    </row>
    <row r="575">
      <c r="G575" s="21"/>
      <c r="H575" s="11"/>
    </row>
    <row r="576">
      <c r="G576" s="21"/>
      <c r="H576" s="11"/>
    </row>
    <row r="577">
      <c r="G577" s="21"/>
      <c r="H577" s="11"/>
    </row>
    <row r="578">
      <c r="G578" s="21"/>
      <c r="H578" s="11"/>
    </row>
    <row r="579">
      <c r="G579" s="21"/>
      <c r="H579" s="11"/>
    </row>
    <row r="580">
      <c r="G580" s="21"/>
      <c r="H580" s="11"/>
    </row>
    <row r="581">
      <c r="G581" s="21"/>
      <c r="H581" s="11"/>
    </row>
    <row r="582">
      <c r="G582" s="21"/>
      <c r="H582" s="11"/>
    </row>
    <row r="583">
      <c r="G583" s="21"/>
      <c r="H583" s="11"/>
    </row>
    <row r="584">
      <c r="G584" s="21"/>
      <c r="H584" s="11"/>
    </row>
    <row r="585">
      <c r="G585" s="21"/>
      <c r="H585" s="11"/>
    </row>
    <row r="586">
      <c r="G586" s="21"/>
      <c r="H586" s="11"/>
    </row>
    <row r="587">
      <c r="G587" s="21"/>
      <c r="H587" s="11"/>
    </row>
    <row r="588">
      <c r="G588" s="21"/>
      <c r="H588" s="11"/>
    </row>
    <row r="589">
      <c r="G589" s="21"/>
      <c r="H589" s="11"/>
    </row>
    <row r="590">
      <c r="G590" s="21"/>
      <c r="H590" s="11"/>
    </row>
    <row r="591">
      <c r="G591" s="21"/>
      <c r="H591" s="11"/>
    </row>
    <row r="592">
      <c r="G592" s="21"/>
      <c r="H592" s="11"/>
    </row>
    <row r="593">
      <c r="G593" s="21"/>
      <c r="H593" s="11"/>
    </row>
    <row r="594">
      <c r="G594" s="21"/>
      <c r="H594" s="11"/>
    </row>
    <row r="595">
      <c r="G595" s="21"/>
      <c r="H595" s="11"/>
    </row>
    <row r="596">
      <c r="G596" s="21"/>
      <c r="H596" s="11"/>
    </row>
    <row r="597">
      <c r="G597" s="21"/>
      <c r="H597" s="11"/>
    </row>
    <row r="598">
      <c r="G598" s="21"/>
      <c r="H598" s="11"/>
    </row>
    <row r="599">
      <c r="G599" s="21"/>
      <c r="H599" s="11"/>
    </row>
    <row r="600">
      <c r="G600" s="21"/>
      <c r="H600" s="11"/>
    </row>
    <row r="601">
      <c r="G601" s="21"/>
      <c r="H601" s="11"/>
    </row>
    <row r="602">
      <c r="G602" s="21"/>
      <c r="H602" s="11"/>
    </row>
    <row r="603">
      <c r="G603" s="21"/>
      <c r="H603" s="11"/>
    </row>
    <row r="604">
      <c r="G604" s="21"/>
      <c r="H604" s="11"/>
    </row>
    <row r="605">
      <c r="G605" s="21"/>
      <c r="H605" s="11"/>
    </row>
    <row r="606">
      <c r="G606" s="21"/>
      <c r="H606" s="11"/>
    </row>
    <row r="607">
      <c r="G607" s="21"/>
      <c r="H607" s="11"/>
    </row>
    <row r="608">
      <c r="G608" s="21"/>
      <c r="H608" s="11"/>
    </row>
    <row r="609">
      <c r="G609" s="21"/>
      <c r="H609" s="11"/>
    </row>
    <row r="610">
      <c r="G610" s="21"/>
      <c r="H610" s="11"/>
    </row>
    <row r="611">
      <c r="G611" s="21"/>
      <c r="H611" s="11"/>
    </row>
    <row r="612">
      <c r="G612" s="21"/>
      <c r="H612" s="11"/>
    </row>
    <row r="613">
      <c r="G613" s="21"/>
      <c r="H613" s="11"/>
    </row>
    <row r="614">
      <c r="G614" s="21"/>
      <c r="H614" s="11"/>
    </row>
    <row r="615">
      <c r="G615" s="21"/>
      <c r="H615" s="11"/>
    </row>
    <row r="616">
      <c r="G616" s="21"/>
      <c r="H616" s="11"/>
    </row>
    <row r="617">
      <c r="G617" s="21"/>
      <c r="H617" s="11"/>
    </row>
    <row r="618">
      <c r="G618" s="21"/>
      <c r="H618" s="11"/>
    </row>
    <row r="619">
      <c r="G619" s="21"/>
      <c r="H619" s="11"/>
    </row>
    <row r="620">
      <c r="G620" s="21"/>
      <c r="H620" s="11"/>
    </row>
    <row r="621">
      <c r="G621" s="21"/>
      <c r="H621" s="11"/>
    </row>
    <row r="622">
      <c r="G622" s="21"/>
      <c r="H622" s="11"/>
    </row>
    <row r="623">
      <c r="G623" s="21"/>
      <c r="H623" s="11"/>
    </row>
    <row r="624">
      <c r="G624" s="21"/>
      <c r="H624" s="11"/>
    </row>
    <row r="625">
      <c r="G625" s="21"/>
      <c r="H625" s="11"/>
    </row>
    <row r="626">
      <c r="G626" s="21"/>
      <c r="H626" s="11"/>
    </row>
    <row r="627">
      <c r="G627" s="21"/>
      <c r="H627" s="11"/>
    </row>
    <row r="628">
      <c r="G628" s="21"/>
      <c r="H628" s="11"/>
    </row>
    <row r="629">
      <c r="G629" s="21"/>
      <c r="H629" s="11"/>
    </row>
    <row r="630">
      <c r="G630" s="21"/>
      <c r="H630" s="11"/>
    </row>
    <row r="631">
      <c r="G631" s="21"/>
      <c r="H631" s="11"/>
    </row>
    <row r="632">
      <c r="G632" s="21"/>
      <c r="H632" s="11"/>
    </row>
    <row r="633">
      <c r="G633" s="21"/>
      <c r="H633" s="11"/>
    </row>
    <row r="634">
      <c r="G634" s="21"/>
      <c r="H634" s="11"/>
    </row>
    <row r="635">
      <c r="G635" s="21"/>
      <c r="H635" s="11"/>
    </row>
    <row r="636">
      <c r="G636" s="21"/>
      <c r="H636" s="11"/>
    </row>
    <row r="637">
      <c r="G637" s="21"/>
      <c r="H637" s="11"/>
    </row>
    <row r="638">
      <c r="G638" s="21"/>
      <c r="H638" s="11"/>
    </row>
    <row r="639">
      <c r="G639" s="21"/>
      <c r="H639" s="11"/>
    </row>
    <row r="640">
      <c r="G640" s="21"/>
      <c r="H640" s="11"/>
    </row>
    <row r="641">
      <c r="G641" s="21"/>
      <c r="H641" s="11"/>
    </row>
    <row r="642">
      <c r="G642" s="21"/>
      <c r="H642" s="11"/>
    </row>
    <row r="643">
      <c r="G643" s="21"/>
      <c r="H643" s="11"/>
    </row>
    <row r="644">
      <c r="G644" s="21"/>
      <c r="H644" s="11"/>
    </row>
    <row r="645">
      <c r="G645" s="21"/>
      <c r="H645" s="11"/>
    </row>
    <row r="646">
      <c r="G646" s="21"/>
      <c r="H646" s="11"/>
    </row>
    <row r="647">
      <c r="G647" s="21"/>
      <c r="H647" s="11"/>
    </row>
    <row r="648">
      <c r="G648" s="21"/>
      <c r="H648" s="11"/>
    </row>
    <row r="649">
      <c r="G649" s="21"/>
      <c r="H649" s="11"/>
    </row>
    <row r="650">
      <c r="G650" s="21"/>
      <c r="H650" s="11"/>
    </row>
    <row r="651">
      <c r="G651" s="21"/>
      <c r="H651" s="11"/>
    </row>
    <row r="652">
      <c r="G652" s="21"/>
      <c r="H652" s="11"/>
    </row>
    <row r="653">
      <c r="G653" s="21"/>
      <c r="H653" s="11"/>
    </row>
    <row r="654">
      <c r="G654" s="21"/>
      <c r="H654" s="11"/>
    </row>
    <row r="655">
      <c r="G655" s="21"/>
      <c r="H655" s="11"/>
    </row>
    <row r="656">
      <c r="G656" s="21"/>
      <c r="H656" s="11"/>
    </row>
    <row r="657">
      <c r="G657" s="21"/>
      <c r="H657" s="11"/>
    </row>
    <row r="658">
      <c r="G658" s="21"/>
      <c r="H658" s="11"/>
    </row>
    <row r="659">
      <c r="G659" s="21"/>
      <c r="H659" s="11"/>
    </row>
    <row r="660">
      <c r="G660" s="21"/>
      <c r="H660" s="11"/>
    </row>
    <row r="661">
      <c r="G661" s="21"/>
      <c r="H661" s="11"/>
    </row>
    <row r="662">
      <c r="G662" s="21"/>
      <c r="H662" s="11"/>
    </row>
    <row r="663">
      <c r="G663" s="21"/>
      <c r="H663" s="11"/>
    </row>
    <row r="664">
      <c r="G664" s="21"/>
      <c r="H664" s="11"/>
    </row>
    <row r="665">
      <c r="G665" s="21"/>
      <c r="H665" s="11"/>
    </row>
    <row r="666">
      <c r="G666" s="21"/>
      <c r="H666" s="11"/>
    </row>
    <row r="667">
      <c r="G667" s="21"/>
      <c r="H667" s="11"/>
    </row>
    <row r="668">
      <c r="G668" s="21"/>
      <c r="H668" s="11"/>
    </row>
    <row r="669">
      <c r="G669" s="21"/>
      <c r="H669" s="11"/>
    </row>
    <row r="670">
      <c r="G670" s="21"/>
      <c r="H670" s="11"/>
    </row>
    <row r="671">
      <c r="G671" s="21"/>
      <c r="H671" s="11"/>
    </row>
    <row r="672">
      <c r="G672" s="21"/>
      <c r="H672" s="11"/>
    </row>
    <row r="673">
      <c r="G673" s="21"/>
      <c r="H673" s="11"/>
    </row>
    <row r="674">
      <c r="G674" s="21"/>
      <c r="H674" s="11"/>
    </row>
    <row r="675">
      <c r="G675" s="21"/>
      <c r="H675" s="11"/>
    </row>
    <row r="676">
      <c r="G676" s="21"/>
      <c r="H676" s="11"/>
    </row>
    <row r="677">
      <c r="G677" s="21"/>
      <c r="H677" s="11"/>
    </row>
    <row r="678">
      <c r="G678" s="21"/>
      <c r="H678" s="11"/>
    </row>
    <row r="679">
      <c r="G679" s="21"/>
      <c r="H679" s="11"/>
    </row>
    <row r="680">
      <c r="G680" s="21"/>
      <c r="H680" s="11"/>
    </row>
    <row r="681">
      <c r="G681" s="21"/>
      <c r="H681" s="11"/>
    </row>
    <row r="682">
      <c r="G682" s="21"/>
      <c r="H682" s="11"/>
    </row>
    <row r="683">
      <c r="G683" s="21"/>
      <c r="H683" s="11"/>
    </row>
    <row r="684">
      <c r="G684" s="21"/>
      <c r="H684" s="11"/>
    </row>
    <row r="685">
      <c r="G685" s="21"/>
      <c r="H685" s="11"/>
    </row>
    <row r="686">
      <c r="G686" s="21"/>
      <c r="H686" s="11"/>
    </row>
    <row r="687">
      <c r="G687" s="21"/>
      <c r="H687" s="11"/>
    </row>
    <row r="688">
      <c r="G688" s="21"/>
      <c r="H688" s="11"/>
    </row>
    <row r="689">
      <c r="G689" s="21"/>
      <c r="H689" s="11"/>
    </row>
    <row r="690">
      <c r="G690" s="21"/>
      <c r="H690" s="11"/>
    </row>
    <row r="691">
      <c r="G691" s="21"/>
      <c r="H691" s="11"/>
    </row>
    <row r="692">
      <c r="G692" s="21"/>
      <c r="H692" s="11"/>
    </row>
    <row r="693">
      <c r="G693" s="21"/>
      <c r="H693" s="11"/>
    </row>
    <row r="694">
      <c r="G694" s="21"/>
      <c r="H694" s="11"/>
    </row>
    <row r="695">
      <c r="G695" s="21"/>
      <c r="H695" s="11"/>
    </row>
    <row r="696">
      <c r="G696" s="21"/>
      <c r="H696" s="11"/>
    </row>
    <row r="697">
      <c r="G697" s="21"/>
      <c r="H697" s="11"/>
    </row>
    <row r="698">
      <c r="G698" s="21"/>
      <c r="H698" s="11"/>
    </row>
    <row r="699">
      <c r="G699" s="21"/>
      <c r="H699" s="11"/>
    </row>
    <row r="700">
      <c r="G700" s="21"/>
      <c r="H700" s="11"/>
    </row>
    <row r="701">
      <c r="G701" s="21"/>
      <c r="H701" s="11"/>
    </row>
    <row r="702">
      <c r="G702" s="21"/>
      <c r="H702" s="11"/>
    </row>
    <row r="703">
      <c r="G703" s="21"/>
      <c r="H703" s="11"/>
    </row>
    <row r="704">
      <c r="G704" s="21"/>
      <c r="H704" s="11"/>
    </row>
    <row r="705">
      <c r="G705" s="21"/>
      <c r="H705" s="11"/>
    </row>
    <row r="706">
      <c r="G706" s="21"/>
      <c r="H706" s="11"/>
    </row>
    <row r="707">
      <c r="G707" s="21"/>
      <c r="H707" s="11"/>
    </row>
    <row r="708">
      <c r="G708" s="21"/>
      <c r="H708" s="11"/>
    </row>
    <row r="709">
      <c r="G709" s="21"/>
      <c r="H709" s="11"/>
    </row>
    <row r="710">
      <c r="G710" s="21"/>
      <c r="H710" s="11"/>
    </row>
    <row r="711">
      <c r="G711" s="21"/>
      <c r="H711" s="11"/>
    </row>
    <row r="712">
      <c r="G712" s="21"/>
      <c r="H712" s="11"/>
    </row>
    <row r="713">
      <c r="G713" s="21"/>
      <c r="H713" s="11"/>
    </row>
    <row r="714">
      <c r="G714" s="21"/>
      <c r="H714" s="11"/>
    </row>
    <row r="715">
      <c r="G715" s="21"/>
      <c r="H715" s="11"/>
    </row>
    <row r="716">
      <c r="G716" s="21"/>
      <c r="H716" s="11"/>
    </row>
    <row r="717">
      <c r="G717" s="21"/>
      <c r="H717" s="11"/>
    </row>
    <row r="718">
      <c r="G718" s="21"/>
      <c r="H718" s="11"/>
    </row>
    <row r="719">
      <c r="G719" s="21"/>
      <c r="H719" s="11"/>
    </row>
    <row r="720">
      <c r="G720" s="21"/>
      <c r="H720" s="11"/>
    </row>
    <row r="721">
      <c r="G721" s="21"/>
      <c r="H721" s="11"/>
    </row>
    <row r="722">
      <c r="G722" s="21"/>
      <c r="H722" s="11"/>
    </row>
    <row r="723">
      <c r="G723" s="21"/>
      <c r="H723" s="11"/>
    </row>
    <row r="724">
      <c r="G724" s="21"/>
      <c r="H724" s="11"/>
    </row>
    <row r="725">
      <c r="G725" s="21"/>
      <c r="H725" s="11"/>
    </row>
    <row r="726">
      <c r="G726" s="21"/>
      <c r="H726" s="11"/>
    </row>
    <row r="727">
      <c r="G727" s="21"/>
      <c r="H727" s="11"/>
    </row>
    <row r="728">
      <c r="G728" s="21"/>
      <c r="H728" s="11"/>
    </row>
    <row r="729">
      <c r="G729" s="21"/>
      <c r="H729" s="11"/>
    </row>
    <row r="730">
      <c r="G730" s="21"/>
      <c r="H730" s="11"/>
    </row>
    <row r="731">
      <c r="G731" s="21"/>
      <c r="H731" s="11"/>
    </row>
    <row r="732">
      <c r="G732" s="21"/>
      <c r="H732" s="11"/>
    </row>
    <row r="733">
      <c r="G733" s="21"/>
      <c r="H733" s="11"/>
    </row>
    <row r="734">
      <c r="G734" s="21"/>
      <c r="H734" s="11"/>
    </row>
    <row r="735">
      <c r="G735" s="21"/>
      <c r="H735" s="11"/>
    </row>
    <row r="736">
      <c r="G736" s="21"/>
      <c r="H736" s="11"/>
    </row>
    <row r="737">
      <c r="G737" s="21"/>
      <c r="H737" s="11"/>
    </row>
    <row r="738">
      <c r="G738" s="21"/>
      <c r="H738" s="11"/>
    </row>
    <row r="739">
      <c r="G739" s="21"/>
      <c r="H739" s="11"/>
    </row>
    <row r="740">
      <c r="G740" s="21"/>
      <c r="H740" s="11"/>
    </row>
    <row r="741">
      <c r="G741" s="21"/>
      <c r="H741" s="11"/>
    </row>
    <row r="742">
      <c r="G742" s="21"/>
      <c r="H742" s="11"/>
    </row>
    <row r="743">
      <c r="G743" s="21"/>
      <c r="H743" s="11"/>
    </row>
    <row r="744">
      <c r="G744" s="21"/>
      <c r="H744" s="11"/>
    </row>
    <row r="745">
      <c r="G745" s="21"/>
      <c r="H745" s="11"/>
    </row>
    <row r="746">
      <c r="G746" s="21"/>
      <c r="H746" s="11"/>
    </row>
    <row r="747">
      <c r="G747" s="21"/>
      <c r="H747" s="11"/>
    </row>
    <row r="748">
      <c r="G748" s="21"/>
      <c r="H748" s="11"/>
    </row>
    <row r="749">
      <c r="G749" s="21"/>
      <c r="H749" s="11"/>
    </row>
    <row r="750">
      <c r="G750" s="21"/>
      <c r="H750" s="11"/>
    </row>
    <row r="751">
      <c r="G751" s="21"/>
      <c r="H751" s="11"/>
    </row>
    <row r="752">
      <c r="G752" s="21"/>
      <c r="H752" s="11"/>
    </row>
    <row r="753">
      <c r="G753" s="21"/>
      <c r="H753" s="11"/>
    </row>
    <row r="754">
      <c r="G754" s="21"/>
      <c r="H754" s="11"/>
    </row>
    <row r="755">
      <c r="G755" s="21"/>
      <c r="H755" s="11"/>
    </row>
    <row r="756">
      <c r="G756" s="21"/>
      <c r="H756" s="11"/>
    </row>
    <row r="757">
      <c r="G757" s="21"/>
      <c r="H757" s="11"/>
    </row>
    <row r="758">
      <c r="G758" s="21"/>
      <c r="H758" s="11"/>
    </row>
    <row r="759">
      <c r="G759" s="21"/>
      <c r="H759" s="11"/>
    </row>
    <row r="760">
      <c r="G760" s="21"/>
      <c r="H760" s="11"/>
    </row>
    <row r="761">
      <c r="G761" s="21"/>
      <c r="H761" s="11"/>
    </row>
    <row r="762">
      <c r="G762" s="21"/>
      <c r="H762" s="11"/>
    </row>
    <row r="763">
      <c r="G763" s="21"/>
      <c r="H763" s="11"/>
    </row>
    <row r="764">
      <c r="G764" s="21"/>
      <c r="H764" s="11"/>
    </row>
    <row r="765">
      <c r="G765" s="21"/>
      <c r="H765" s="11"/>
    </row>
    <row r="766">
      <c r="G766" s="21"/>
      <c r="H766" s="11"/>
    </row>
    <row r="767">
      <c r="G767" s="21"/>
      <c r="H767" s="11"/>
    </row>
    <row r="768">
      <c r="G768" s="21"/>
      <c r="H768" s="11"/>
    </row>
    <row r="769">
      <c r="G769" s="21"/>
      <c r="H769" s="11"/>
    </row>
    <row r="770">
      <c r="G770" s="21"/>
      <c r="H770" s="11"/>
    </row>
    <row r="771">
      <c r="G771" s="21"/>
      <c r="H771" s="11"/>
    </row>
    <row r="772">
      <c r="G772" s="21"/>
      <c r="H772" s="11"/>
    </row>
    <row r="773">
      <c r="G773" s="21"/>
      <c r="H773" s="11"/>
    </row>
    <row r="774">
      <c r="G774" s="21"/>
      <c r="H774" s="11"/>
    </row>
    <row r="775">
      <c r="G775" s="21"/>
      <c r="H775" s="11"/>
    </row>
    <row r="776">
      <c r="G776" s="21"/>
      <c r="H776" s="11"/>
    </row>
    <row r="777">
      <c r="G777" s="21"/>
      <c r="H777" s="11"/>
    </row>
    <row r="778">
      <c r="G778" s="21"/>
      <c r="H778" s="11"/>
    </row>
    <row r="779">
      <c r="G779" s="21"/>
      <c r="H779" s="11"/>
    </row>
    <row r="780">
      <c r="G780" s="21"/>
      <c r="H780" s="11"/>
    </row>
    <row r="781">
      <c r="G781" s="21"/>
      <c r="H781" s="11"/>
    </row>
    <row r="782">
      <c r="G782" s="21"/>
      <c r="H782" s="11"/>
    </row>
    <row r="783">
      <c r="G783" s="21"/>
      <c r="H783" s="11"/>
    </row>
    <row r="784">
      <c r="G784" s="21"/>
      <c r="H784" s="11"/>
    </row>
    <row r="785">
      <c r="G785" s="21"/>
      <c r="H785" s="11"/>
    </row>
    <row r="786">
      <c r="G786" s="21"/>
      <c r="H786" s="11"/>
    </row>
    <row r="787">
      <c r="G787" s="21"/>
      <c r="H787" s="11"/>
    </row>
    <row r="788">
      <c r="G788" s="21"/>
      <c r="H788" s="11"/>
    </row>
    <row r="789">
      <c r="G789" s="21"/>
      <c r="H789" s="11"/>
    </row>
    <row r="790">
      <c r="G790" s="21"/>
      <c r="H790" s="11"/>
    </row>
    <row r="791">
      <c r="G791" s="21"/>
      <c r="H791" s="11"/>
    </row>
    <row r="792">
      <c r="G792" s="21"/>
      <c r="H792" s="11"/>
    </row>
    <row r="793">
      <c r="G793" s="21"/>
      <c r="H793" s="11"/>
    </row>
    <row r="794">
      <c r="G794" s="21"/>
      <c r="H794" s="11"/>
    </row>
    <row r="795">
      <c r="G795" s="21"/>
      <c r="H795" s="11"/>
    </row>
    <row r="796">
      <c r="G796" s="21"/>
      <c r="H796" s="11"/>
    </row>
    <row r="797">
      <c r="G797" s="21"/>
      <c r="H797" s="11"/>
    </row>
    <row r="798">
      <c r="G798" s="21"/>
      <c r="H798" s="11"/>
    </row>
    <row r="799">
      <c r="G799" s="21"/>
      <c r="H799" s="11"/>
    </row>
    <row r="800">
      <c r="G800" s="21"/>
      <c r="H800" s="11"/>
    </row>
    <row r="801">
      <c r="G801" s="21"/>
      <c r="H801" s="11"/>
    </row>
    <row r="802">
      <c r="G802" s="21"/>
      <c r="H802" s="11"/>
    </row>
    <row r="803">
      <c r="G803" s="21"/>
      <c r="H803" s="11"/>
    </row>
    <row r="804">
      <c r="G804" s="21"/>
      <c r="H804" s="11"/>
    </row>
    <row r="805">
      <c r="G805" s="21"/>
      <c r="H805" s="11"/>
    </row>
    <row r="806">
      <c r="G806" s="21"/>
      <c r="H806" s="11"/>
    </row>
    <row r="807">
      <c r="G807" s="21"/>
      <c r="H807" s="11"/>
    </row>
    <row r="808">
      <c r="G808" s="21"/>
      <c r="H808" s="11"/>
    </row>
    <row r="809">
      <c r="G809" s="21"/>
      <c r="H809" s="11"/>
    </row>
    <row r="810">
      <c r="G810" s="21"/>
      <c r="H810" s="11"/>
    </row>
    <row r="811">
      <c r="G811" s="21"/>
      <c r="H811" s="11"/>
    </row>
    <row r="812">
      <c r="G812" s="21"/>
      <c r="H812" s="11"/>
    </row>
    <row r="813">
      <c r="G813" s="21"/>
      <c r="H813" s="11"/>
    </row>
    <row r="814">
      <c r="G814" s="21"/>
      <c r="H814" s="11"/>
    </row>
    <row r="815">
      <c r="G815" s="21"/>
      <c r="H815" s="11"/>
    </row>
    <row r="816">
      <c r="G816" s="21"/>
      <c r="H816" s="11"/>
    </row>
    <row r="817">
      <c r="G817" s="21"/>
      <c r="H817" s="11"/>
    </row>
    <row r="818">
      <c r="G818" s="21"/>
      <c r="H818" s="11"/>
    </row>
    <row r="819">
      <c r="G819" s="21"/>
      <c r="H819" s="11"/>
    </row>
    <row r="820">
      <c r="G820" s="21"/>
      <c r="H820" s="11"/>
    </row>
    <row r="821">
      <c r="G821" s="21"/>
      <c r="H821" s="11"/>
    </row>
    <row r="822">
      <c r="G822" s="21"/>
      <c r="H822" s="11"/>
    </row>
    <row r="823">
      <c r="G823" s="21"/>
      <c r="H823" s="11"/>
    </row>
    <row r="824">
      <c r="G824" s="21"/>
      <c r="H824" s="11"/>
    </row>
    <row r="825">
      <c r="G825" s="21"/>
      <c r="H825" s="11"/>
    </row>
    <row r="826">
      <c r="G826" s="21"/>
      <c r="H826" s="11"/>
    </row>
    <row r="827">
      <c r="G827" s="21"/>
      <c r="H827" s="11"/>
    </row>
    <row r="828">
      <c r="G828" s="21"/>
      <c r="H828" s="11"/>
    </row>
    <row r="829">
      <c r="G829" s="21"/>
      <c r="H829" s="11"/>
    </row>
    <row r="830">
      <c r="G830" s="21"/>
      <c r="H830" s="11"/>
    </row>
    <row r="831">
      <c r="G831" s="21"/>
      <c r="H831" s="11"/>
    </row>
    <row r="832">
      <c r="G832" s="21"/>
      <c r="H832" s="11"/>
    </row>
    <row r="833">
      <c r="G833" s="21"/>
      <c r="H833" s="11"/>
    </row>
    <row r="834">
      <c r="G834" s="21"/>
      <c r="H834" s="11"/>
    </row>
    <row r="835">
      <c r="G835" s="21"/>
      <c r="H835" s="11"/>
    </row>
    <row r="836">
      <c r="G836" s="21"/>
      <c r="H836" s="11"/>
    </row>
    <row r="837">
      <c r="G837" s="21"/>
      <c r="H837" s="11"/>
    </row>
    <row r="838">
      <c r="G838" s="21"/>
      <c r="H838" s="11"/>
    </row>
    <row r="839">
      <c r="G839" s="21"/>
      <c r="H839" s="11"/>
    </row>
    <row r="840">
      <c r="G840" s="21"/>
      <c r="H840" s="11"/>
    </row>
    <row r="841">
      <c r="G841" s="21"/>
      <c r="H841" s="11"/>
    </row>
    <row r="842">
      <c r="G842" s="21"/>
      <c r="H842" s="11"/>
    </row>
    <row r="843">
      <c r="G843" s="21"/>
      <c r="H843" s="11"/>
    </row>
    <row r="844">
      <c r="G844" s="21"/>
      <c r="H844" s="11"/>
    </row>
    <row r="845">
      <c r="G845" s="21"/>
      <c r="H845" s="11"/>
    </row>
    <row r="846">
      <c r="G846" s="21"/>
      <c r="H846" s="11"/>
    </row>
    <row r="847">
      <c r="G847" s="21"/>
      <c r="H847" s="11"/>
    </row>
    <row r="848">
      <c r="G848" s="21"/>
      <c r="H848" s="11"/>
    </row>
    <row r="849">
      <c r="G849" s="21"/>
      <c r="H849" s="11"/>
    </row>
    <row r="850">
      <c r="G850" s="21"/>
      <c r="H850" s="11"/>
    </row>
    <row r="851">
      <c r="G851" s="21"/>
      <c r="H851" s="11"/>
    </row>
    <row r="852">
      <c r="G852" s="21"/>
      <c r="H852" s="11"/>
    </row>
    <row r="853">
      <c r="G853" s="21"/>
      <c r="H853" s="11"/>
    </row>
    <row r="854">
      <c r="G854" s="21"/>
      <c r="H854" s="11"/>
    </row>
    <row r="855">
      <c r="G855" s="21"/>
      <c r="H855" s="11"/>
    </row>
    <row r="856">
      <c r="G856" s="21"/>
      <c r="H856" s="11"/>
    </row>
    <row r="857">
      <c r="G857" s="21"/>
      <c r="H857" s="11"/>
    </row>
    <row r="858">
      <c r="G858" s="21"/>
      <c r="H858" s="11"/>
    </row>
    <row r="859">
      <c r="G859" s="21"/>
      <c r="H859" s="11"/>
    </row>
    <row r="860">
      <c r="G860" s="21"/>
      <c r="H860" s="11"/>
    </row>
    <row r="861">
      <c r="G861" s="21"/>
      <c r="H861" s="11"/>
    </row>
    <row r="862">
      <c r="G862" s="21"/>
      <c r="H862" s="11"/>
    </row>
    <row r="863">
      <c r="G863" s="21"/>
      <c r="H863" s="11"/>
    </row>
    <row r="864">
      <c r="G864" s="21"/>
      <c r="H864" s="11"/>
    </row>
    <row r="865">
      <c r="G865" s="21"/>
      <c r="H865" s="11"/>
    </row>
    <row r="866">
      <c r="G866" s="21"/>
      <c r="H866" s="11"/>
    </row>
    <row r="867">
      <c r="G867" s="21"/>
      <c r="H867" s="11"/>
    </row>
    <row r="868">
      <c r="G868" s="21"/>
      <c r="H868" s="11"/>
    </row>
    <row r="869">
      <c r="G869" s="21"/>
      <c r="H869" s="11"/>
    </row>
    <row r="870">
      <c r="G870" s="21"/>
      <c r="H870" s="11"/>
    </row>
    <row r="871">
      <c r="G871" s="21"/>
      <c r="H871" s="11"/>
    </row>
    <row r="872">
      <c r="G872" s="21"/>
      <c r="H872" s="11"/>
    </row>
    <row r="873">
      <c r="G873" s="21"/>
      <c r="H873" s="11"/>
    </row>
    <row r="874">
      <c r="G874" s="21"/>
      <c r="H874" s="11"/>
    </row>
    <row r="875">
      <c r="G875" s="21"/>
      <c r="H875" s="11"/>
    </row>
    <row r="876">
      <c r="G876" s="21"/>
      <c r="H876" s="11"/>
    </row>
    <row r="877">
      <c r="G877" s="21"/>
      <c r="H877" s="11"/>
    </row>
    <row r="878">
      <c r="G878" s="21"/>
      <c r="H878" s="11"/>
    </row>
    <row r="879">
      <c r="G879" s="21"/>
      <c r="H879" s="11"/>
    </row>
    <row r="880">
      <c r="G880" s="21"/>
      <c r="H880" s="11"/>
    </row>
    <row r="881">
      <c r="G881" s="21"/>
      <c r="H881" s="11"/>
    </row>
    <row r="882">
      <c r="G882" s="21"/>
      <c r="H882" s="11"/>
    </row>
    <row r="883">
      <c r="G883" s="21"/>
      <c r="H883" s="11"/>
    </row>
    <row r="884">
      <c r="G884" s="21"/>
      <c r="H884" s="11"/>
    </row>
    <row r="885">
      <c r="G885" s="21"/>
      <c r="H885" s="11"/>
    </row>
    <row r="886">
      <c r="G886" s="21"/>
      <c r="H886" s="11"/>
    </row>
    <row r="887">
      <c r="G887" s="21"/>
      <c r="H887" s="11"/>
    </row>
    <row r="888">
      <c r="G888" s="21"/>
      <c r="H888" s="11"/>
    </row>
    <row r="889">
      <c r="G889" s="21"/>
      <c r="H889" s="11"/>
    </row>
    <row r="890">
      <c r="G890" s="21"/>
      <c r="H890" s="11"/>
    </row>
    <row r="891">
      <c r="G891" s="21"/>
      <c r="H891" s="11"/>
    </row>
    <row r="892">
      <c r="G892" s="21"/>
      <c r="H892" s="11"/>
    </row>
    <row r="893">
      <c r="G893" s="21"/>
      <c r="H893" s="11"/>
    </row>
    <row r="894">
      <c r="G894" s="21"/>
      <c r="H894" s="11"/>
    </row>
    <row r="895">
      <c r="G895" s="21"/>
      <c r="H895" s="11"/>
    </row>
    <row r="896">
      <c r="G896" s="21"/>
      <c r="H896" s="11"/>
    </row>
    <row r="897">
      <c r="G897" s="21"/>
      <c r="H897" s="11"/>
    </row>
    <row r="898">
      <c r="G898" s="21"/>
      <c r="H898" s="11"/>
    </row>
    <row r="899">
      <c r="G899" s="21"/>
      <c r="H899" s="11"/>
    </row>
    <row r="900">
      <c r="G900" s="21"/>
      <c r="H900" s="11"/>
    </row>
    <row r="901">
      <c r="G901" s="21"/>
      <c r="H901" s="11"/>
    </row>
    <row r="902">
      <c r="G902" s="21"/>
      <c r="H902" s="11"/>
    </row>
    <row r="903">
      <c r="G903" s="21"/>
      <c r="H903" s="11"/>
    </row>
    <row r="904">
      <c r="G904" s="21"/>
      <c r="H904" s="11"/>
    </row>
    <row r="905">
      <c r="G905" s="21"/>
      <c r="H905" s="11"/>
    </row>
    <row r="906">
      <c r="G906" s="21"/>
      <c r="H906" s="11"/>
    </row>
    <row r="907">
      <c r="G907" s="21"/>
      <c r="H907" s="11"/>
    </row>
    <row r="908">
      <c r="G908" s="21"/>
      <c r="H908" s="11"/>
    </row>
    <row r="909">
      <c r="G909" s="21"/>
      <c r="H909" s="11"/>
    </row>
    <row r="910">
      <c r="G910" s="21"/>
      <c r="H910" s="11"/>
    </row>
    <row r="911">
      <c r="G911" s="21"/>
      <c r="H911" s="11"/>
    </row>
    <row r="912">
      <c r="G912" s="21"/>
      <c r="H912" s="11"/>
    </row>
    <row r="913">
      <c r="G913" s="21"/>
      <c r="H913" s="11"/>
    </row>
    <row r="914">
      <c r="G914" s="21"/>
      <c r="H914" s="11"/>
    </row>
    <row r="915">
      <c r="G915" s="21"/>
      <c r="H915" s="11"/>
    </row>
    <row r="916">
      <c r="G916" s="21"/>
      <c r="H916" s="11"/>
    </row>
    <row r="917">
      <c r="G917" s="21"/>
      <c r="H917" s="11"/>
    </row>
    <row r="918">
      <c r="G918" s="21"/>
      <c r="H918" s="11"/>
    </row>
    <row r="919">
      <c r="G919" s="21"/>
      <c r="H919" s="11"/>
    </row>
    <row r="920">
      <c r="G920" s="21"/>
      <c r="H920" s="11"/>
    </row>
    <row r="921">
      <c r="G921" s="21"/>
      <c r="H921" s="11"/>
    </row>
    <row r="922">
      <c r="G922" s="21"/>
      <c r="H922" s="11"/>
    </row>
    <row r="923">
      <c r="G923" s="21"/>
      <c r="H923" s="11"/>
    </row>
    <row r="924">
      <c r="G924" s="21"/>
      <c r="H924" s="11"/>
    </row>
    <row r="925">
      <c r="G925" s="21"/>
      <c r="H925" s="11"/>
    </row>
    <row r="926">
      <c r="G926" s="21"/>
      <c r="H926" s="11"/>
    </row>
    <row r="927">
      <c r="G927" s="21"/>
      <c r="H927" s="11"/>
    </row>
    <row r="928">
      <c r="G928" s="21"/>
      <c r="H928" s="11"/>
    </row>
    <row r="929">
      <c r="G929" s="21"/>
      <c r="H929" s="11"/>
    </row>
    <row r="930">
      <c r="G930" s="21"/>
      <c r="H930" s="11"/>
    </row>
    <row r="931">
      <c r="G931" s="21"/>
      <c r="H931" s="11"/>
    </row>
    <row r="932">
      <c r="G932" s="21"/>
      <c r="H932" s="11"/>
    </row>
    <row r="933">
      <c r="G933" s="21"/>
      <c r="H933" s="11"/>
    </row>
    <row r="934">
      <c r="G934" s="21"/>
      <c r="H934" s="11"/>
    </row>
    <row r="935">
      <c r="G935" s="21"/>
      <c r="H935" s="11"/>
    </row>
    <row r="936">
      <c r="G936" s="21"/>
      <c r="H936" s="11"/>
    </row>
    <row r="937">
      <c r="G937" s="21"/>
      <c r="H937" s="11"/>
    </row>
    <row r="938">
      <c r="G938" s="21"/>
      <c r="H938" s="11"/>
    </row>
    <row r="939">
      <c r="G939" s="21"/>
      <c r="H939" s="11"/>
    </row>
    <row r="940">
      <c r="G940" s="21"/>
      <c r="H940" s="11"/>
    </row>
    <row r="941">
      <c r="G941" s="21"/>
      <c r="H941" s="11"/>
    </row>
    <row r="942">
      <c r="G942" s="21"/>
      <c r="H942" s="11"/>
    </row>
    <row r="943">
      <c r="G943" s="21"/>
      <c r="H943" s="11"/>
    </row>
    <row r="944">
      <c r="G944" s="21"/>
      <c r="H944" s="11"/>
    </row>
    <row r="945">
      <c r="G945" s="21"/>
      <c r="H945" s="11"/>
    </row>
    <row r="946">
      <c r="G946" s="21"/>
      <c r="H946" s="11"/>
    </row>
    <row r="947">
      <c r="G947" s="21"/>
      <c r="H947" s="11"/>
    </row>
    <row r="948">
      <c r="G948" s="21"/>
      <c r="H948" s="11"/>
    </row>
    <row r="949">
      <c r="G949" s="21"/>
      <c r="H949" s="11"/>
    </row>
    <row r="950">
      <c r="G950" s="21"/>
      <c r="H950" s="11"/>
    </row>
    <row r="951">
      <c r="G951" s="21"/>
      <c r="H951" s="11"/>
    </row>
    <row r="952">
      <c r="G952" s="21"/>
      <c r="H952" s="11"/>
    </row>
    <row r="953">
      <c r="G953" s="21"/>
      <c r="H953" s="11"/>
    </row>
    <row r="954">
      <c r="G954" s="21"/>
      <c r="H954" s="11"/>
    </row>
    <row r="955">
      <c r="G955" s="21"/>
      <c r="H955" s="11"/>
    </row>
    <row r="956">
      <c r="G956" s="21"/>
      <c r="H956" s="11"/>
    </row>
    <row r="957">
      <c r="G957" s="21"/>
      <c r="H957" s="11"/>
    </row>
    <row r="958">
      <c r="G958" s="21"/>
      <c r="H958" s="11"/>
    </row>
    <row r="959">
      <c r="G959" s="21"/>
      <c r="H959" s="11"/>
    </row>
    <row r="960">
      <c r="G960" s="21"/>
      <c r="H960" s="11"/>
    </row>
    <row r="961">
      <c r="G961" s="21"/>
      <c r="H961" s="11"/>
    </row>
    <row r="962">
      <c r="G962" s="21"/>
      <c r="H962" s="11"/>
    </row>
    <row r="963">
      <c r="G963" s="21"/>
      <c r="H963" s="11"/>
    </row>
    <row r="964">
      <c r="G964" s="21"/>
      <c r="H964" s="11"/>
    </row>
    <row r="965">
      <c r="G965" s="21"/>
      <c r="H965" s="11"/>
    </row>
    <row r="966">
      <c r="G966" s="21"/>
      <c r="H966" s="11"/>
    </row>
    <row r="967">
      <c r="G967" s="21"/>
      <c r="H967" s="11"/>
    </row>
    <row r="968">
      <c r="G968" s="21"/>
      <c r="H968" s="11"/>
    </row>
    <row r="969">
      <c r="G969" s="21"/>
      <c r="H969" s="11"/>
    </row>
    <row r="970">
      <c r="G970" s="21"/>
      <c r="H970" s="11"/>
    </row>
    <row r="971">
      <c r="G971" s="21"/>
      <c r="H971" s="11"/>
    </row>
    <row r="972">
      <c r="G972" s="21"/>
      <c r="H972" s="11"/>
    </row>
    <row r="973">
      <c r="G973" s="21"/>
      <c r="H973" s="11"/>
    </row>
    <row r="974">
      <c r="G974" s="21"/>
      <c r="H974" s="11"/>
    </row>
    <row r="975">
      <c r="G975" s="21"/>
      <c r="H975" s="11"/>
    </row>
    <row r="976">
      <c r="G976" s="21"/>
      <c r="H976" s="11"/>
    </row>
    <row r="977">
      <c r="G977" s="21"/>
      <c r="H977" s="11"/>
    </row>
    <row r="978">
      <c r="G978" s="21"/>
      <c r="H978" s="11"/>
    </row>
    <row r="979">
      <c r="G979" s="21"/>
      <c r="H979" s="11"/>
    </row>
    <row r="980">
      <c r="G980" s="21"/>
      <c r="H980" s="11"/>
    </row>
    <row r="981">
      <c r="G981" s="21"/>
      <c r="H981" s="11"/>
    </row>
    <row r="982">
      <c r="G982" s="21"/>
      <c r="H982" s="11"/>
    </row>
    <row r="983">
      <c r="G983" s="21"/>
      <c r="H983" s="11"/>
    </row>
    <row r="984">
      <c r="G984" s="21"/>
      <c r="H984" s="11"/>
    </row>
    <row r="985">
      <c r="G985" s="21"/>
      <c r="H985" s="11"/>
    </row>
    <row r="986">
      <c r="G986" s="21"/>
      <c r="H986" s="11"/>
    </row>
    <row r="987">
      <c r="G987" s="21"/>
      <c r="H987" s="11"/>
    </row>
    <row r="988">
      <c r="G988" s="21"/>
      <c r="H988" s="11"/>
    </row>
    <row r="989">
      <c r="G989" s="21"/>
      <c r="H989" s="11"/>
    </row>
    <row r="990">
      <c r="G990" s="21"/>
      <c r="H990" s="11"/>
    </row>
    <row r="991">
      <c r="G991" s="21"/>
      <c r="H991" s="11"/>
    </row>
    <row r="992">
      <c r="G992" s="21"/>
      <c r="H992" s="11"/>
    </row>
    <row r="993">
      <c r="G993" s="21"/>
      <c r="H993" s="11"/>
    </row>
    <row r="994">
      <c r="G994" s="21"/>
      <c r="H994" s="11"/>
    </row>
    <row r="995">
      <c r="G995" s="21"/>
      <c r="H995" s="11"/>
    </row>
    <row r="996">
      <c r="G996" s="21"/>
      <c r="H996" s="11"/>
    </row>
    <row r="997">
      <c r="G997" s="21"/>
      <c r="H997" s="11"/>
    </row>
    <row r="998">
      <c r="G998" s="21"/>
      <c r="H998" s="11"/>
    </row>
    <row r="999">
      <c r="G999" s="21"/>
      <c r="H999" s="11"/>
    </row>
    <row r="1000">
      <c r="G1000" s="21"/>
      <c r="H1000" s="11"/>
    </row>
    <row r="1001">
      <c r="G1001" s="21"/>
      <c r="H1001" s="11"/>
    </row>
    <row r="1002">
      <c r="G1002" s="21"/>
      <c r="H1002" s="11"/>
    </row>
    <row r="1003">
      <c r="G1003" s="21"/>
      <c r="H1003" s="11"/>
    </row>
    <row r="1004">
      <c r="G1004" s="21"/>
      <c r="H1004" s="11"/>
    </row>
    <row r="1005">
      <c r="G1005" s="21"/>
      <c r="H1005" s="11"/>
    </row>
    <row r="1006">
      <c r="G1006" s="21"/>
      <c r="H1006" s="11"/>
    </row>
    <row r="1007">
      <c r="G1007" s="21"/>
      <c r="H1007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2" t="s">
        <v>6</v>
      </c>
      <c r="H1" s="3" t="s">
        <v>7</v>
      </c>
      <c r="I1" s="1" t="s">
        <v>8</v>
      </c>
      <c r="J1" s="1" t="s">
        <v>24</v>
      </c>
      <c r="K1" s="1" t="s">
        <v>10</v>
      </c>
    </row>
    <row r="2">
      <c r="A2" s="5">
        <v>45572.0</v>
      </c>
      <c r="C2" s="6" t="s">
        <v>11</v>
      </c>
      <c r="D2" s="6" t="s">
        <v>12</v>
      </c>
      <c r="F2" s="6">
        <v>1.0</v>
      </c>
      <c r="G2" s="23">
        <v>60.017</v>
      </c>
      <c r="H2" s="8">
        <v>25.9</v>
      </c>
      <c r="I2" s="6">
        <v>2161.6</v>
      </c>
      <c r="K2" s="6" t="s">
        <v>25</v>
      </c>
    </row>
    <row r="3">
      <c r="A3" s="5">
        <v>45572.0</v>
      </c>
      <c r="C3" s="6" t="s">
        <v>11</v>
      </c>
      <c r="D3" s="6" t="s">
        <v>12</v>
      </c>
      <c r="F3" s="6">
        <v>2.0</v>
      </c>
      <c r="G3" s="24">
        <v>60.074</v>
      </c>
      <c r="H3" s="8">
        <v>25.8</v>
      </c>
      <c r="I3" s="6">
        <v>2164.8</v>
      </c>
    </row>
    <row r="4">
      <c r="A4" s="5">
        <v>45572.0</v>
      </c>
      <c r="C4" s="6" t="s">
        <v>11</v>
      </c>
      <c r="D4" s="6" t="s">
        <v>12</v>
      </c>
      <c r="F4" s="6">
        <v>3.0</v>
      </c>
      <c r="G4" s="24">
        <v>60.078</v>
      </c>
      <c r="H4" s="8">
        <v>25.3</v>
      </c>
      <c r="I4" s="6">
        <v>2158.2</v>
      </c>
    </row>
    <row r="5">
      <c r="A5" s="5">
        <v>45572.0</v>
      </c>
      <c r="B5" s="6">
        <v>1.0</v>
      </c>
      <c r="C5" s="6" t="s">
        <v>11</v>
      </c>
      <c r="D5" s="6" t="s">
        <v>26</v>
      </c>
      <c r="F5" s="6">
        <v>4.0</v>
      </c>
      <c r="G5" s="24">
        <v>60.008</v>
      </c>
      <c r="H5" s="8"/>
      <c r="I5" s="6">
        <v>2186.9</v>
      </c>
      <c r="K5" s="6" t="s">
        <v>27</v>
      </c>
    </row>
    <row r="6">
      <c r="A6" s="5">
        <v>45572.0</v>
      </c>
      <c r="B6" s="6">
        <v>1.0</v>
      </c>
      <c r="C6" s="6" t="s">
        <v>11</v>
      </c>
      <c r="D6" s="6" t="s">
        <v>26</v>
      </c>
      <c r="F6" s="6">
        <v>5.0</v>
      </c>
      <c r="G6" s="24">
        <v>60.059</v>
      </c>
      <c r="H6" s="8">
        <v>25.9</v>
      </c>
      <c r="I6" s="6">
        <v>2193.8</v>
      </c>
    </row>
    <row r="7">
      <c r="A7" s="5"/>
      <c r="B7" s="6">
        <v>1.0</v>
      </c>
      <c r="C7" s="6" t="s">
        <v>11</v>
      </c>
      <c r="D7" s="6" t="s">
        <v>26</v>
      </c>
      <c r="F7" s="6">
        <v>6.0</v>
      </c>
      <c r="G7" s="24">
        <v>60.014</v>
      </c>
      <c r="H7" s="8">
        <v>25.5</v>
      </c>
      <c r="I7" s="6">
        <v>2181.7</v>
      </c>
    </row>
    <row r="8">
      <c r="A8" s="5">
        <v>45572.0</v>
      </c>
      <c r="B8" s="6">
        <v>1.0</v>
      </c>
      <c r="C8" s="6" t="s">
        <v>11</v>
      </c>
      <c r="D8" s="1">
        <v>1.0</v>
      </c>
      <c r="F8" s="6">
        <v>1.0</v>
      </c>
      <c r="G8" s="24">
        <v>60.03</v>
      </c>
      <c r="H8" s="8">
        <v>24.7</v>
      </c>
      <c r="I8" s="6">
        <v>2177.3</v>
      </c>
    </row>
    <row r="9">
      <c r="A9" s="5">
        <v>45572.0</v>
      </c>
      <c r="B9" s="6">
        <v>1.0</v>
      </c>
      <c r="C9" s="6" t="s">
        <v>11</v>
      </c>
      <c r="D9" s="1">
        <v>1.0</v>
      </c>
      <c r="F9" s="6">
        <v>2.0</v>
      </c>
      <c r="G9" s="24">
        <v>60.012</v>
      </c>
      <c r="H9" s="8">
        <v>24.6</v>
      </c>
      <c r="I9" s="6">
        <v>2180.6</v>
      </c>
      <c r="J9" s="10">
        <f>Average(I8:I9)</f>
        <v>2178.95</v>
      </c>
    </row>
    <row r="10">
      <c r="A10" s="5"/>
      <c r="B10" s="6">
        <v>1.0</v>
      </c>
      <c r="D10" s="1"/>
      <c r="G10" s="24"/>
      <c r="H10" s="8"/>
    </row>
    <row r="11">
      <c r="A11" s="5">
        <v>45572.0</v>
      </c>
      <c r="B11" s="6">
        <v>1.0</v>
      </c>
      <c r="C11" s="6" t="s">
        <v>11</v>
      </c>
      <c r="D11" s="6">
        <v>2.0</v>
      </c>
      <c r="E11" s="10">
        <f>69.887+180</f>
        <v>249.887</v>
      </c>
      <c r="F11" s="6">
        <v>1.0</v>
      </c>
      <c r="G11" s="23">
        <v>60.045</v>
      </c>
      <c r="H11" s="8">
        <v>25.0</v>
      </c>
      <c r="I11" s="6">
        <v>2183.9</v>
      </c>
    </row>
    <row r="12">
      <c r="A12" s="5">
        <v>45572.0</v>
      </c>
      <c r="B12" s="6">
        <v>1.0</v>
      </c>
      <c r="C12" s="6" t="s">
        <v>11</v>
      </c>
      <c r="D12" s="6">
        <v>2.0</v>
      </c>
      <c r="F12" s="6">
        <v>2.0</v>
      </c>
      <c r="G12" s="24">
        <v>60.022</v>
      </c>
      <c r="H12" s="8">
        <v>24.9</v>
      </c>
      <c r="I12" s="6">
        <v>2186.0</v>
      </c>
      <c r="J12" s="10">
        <f>Average(I11:I12)</f>
        <v>2184.95</v>
      </c>
    </row>
    <row r="13">
      <c r="A13" s="5"/>
      <c r="B13" s="6">
        <v>1.0</v>
      </c>
      <c r="G13" s="24"/>
      <c r="H13" s="8"/>
    </row>
    <row r="14">
      <c r="A14" s="5">
        <v>45572.0</v>
      </c>
      <c r="B14" s="6">
        <v>1.0</v>
      </c>
      <c r="C14" s="6" t="s">
        <v>11</v>
      </c>
      <c r="D14" s="6">
        <v>3.0</v>
      </c>
      <c r="E14" s="10">
        <f>63.606+180</f>
        <v>243.606</v>
      </c>
      <c r="F14" s="6">
        <v>1.0</v>
      </c>
      <c r="G14" s="24">
        <v>60.043</v>
      </c>
      <c r="H14" s="8">
        <v>24.9</v>
      </c>
      <c r="I14" s="6">
        <v>2190.5</v>
      </c>
    </row>
    <row r="15">
      <c r="A15" s="5">
        <v>45572.0</v>
      </c>
      <c r="B15" s="6">
        <v>1.0</v>
      </c>
      <c r="C15" s="6" t="s">
        <v>11</v>
      </c>
      <c r="D15" s="6">
        <v>3.0</v>
      </c>
      <c r="F15" s="6">
        <v>2.0</v>
      </c>
      <c r="G15" s="24">
        <v>60.071</v>
      </c>
      <c r="H15" s="8">
        <v>24.8</v>
      </c>
      <c r="I15" s="6">
        <v>2190.4</v>
      </c>
      <c r="J15" s="10">
        <f>Average(I14:I15)</f>
        <v>2190.45</v>
      </c>
    </row>
    <row r="16">
      <c r="A16" s="5"/>
      <c r="G16" s="24"/>
      <c r="H16" s="8"/>
    </row>
    <row r="17">
      <c r="A17" s="5">
        <v>45572.0</v>
      </c>
      <c r="B17" s="6">
        <v>1.0</v>
      </c>
      <c r="C17" s="6" t="s">
        <v>11</v>
      </c>
      <c r="D17" s="6">
        <v>4.0</v>
      </c>
      <c r="E17" s="10">
        <f>54.317+180</f>
        <v>234.317</v>
      </c>
      <c r="F17" s="6">
        <v>1.0</v>
      </c>
      <c r="G17" s="24">
        <v>60.041</v>
      </c>
      <c r="H17" s="8">
        <v>24.9</v>
      </c>
      <c r="I17" s="6">
        <v>2194.7</v>
      </c>
    </row>
    <row r="18">
      <c r="A18" s="5">
        <v>45572.0</v>
      </c>
      <c r="B18" s="6">
        <v>1.0</v>
      </c>
      <c r="C18" s="6" t="s">
        <v>11</v>
      </c>
      <c r="D18" s="6">
        <v>4.0</v>
      </c>
      <c r="F18" s="6">
        <v>2.0</v>
      </c>
      <c r="G18" s="24">
        <v>60.029</v>
      </c>
      <c r="H18" s="8">
        <v>24.8</v>
      </c>
      <c r="I18" s="6">
        <v>2190.2</v>
      </c>
    </row>
    <row r="19">
      <c r="A19" s="5">
        <v>45572.0</v>
      </c>
      <c r="B19" s="6">
        <v>1.0</v>
      </c>
      <c r="C19" s="6" t="s">
        <v>11</v>
      </c>
      <c r="D19" s="6">
        <v>4.0</v>
      </c>
      <c r="F19" s="6">
        <v>3.0</v>
      </c>
      <c r="G19" s="24">
        <v>60.039</v>
      </c>
      <c r="H19" s="8">
        <v>24.6</v>
      </c>
      <c r="I19" s="6">
        <v>2198.0</v>
      </c>
      <c r="J19" s="10">
        <f>Average(I19,I17)</f>
        <v>2196.35</v>
      </c>
    </row>
    <row r="20">
      <c r="A20" s="5">
        <v>45572.0</v>
      </c>
      <c r="B20" s="6">
        <v>1.0</v>
      </c>
      <c r="C20" s="6" t="s">
        <v>11</v>
      </c>
      <c r="D20" s="6">
        <v>5.0</v>
      </c>
      <c r="E20" s="10">
        <f>63.682+180</f>
        <v>243.682</v>
      </c>
      <c r="F20" s="6">
        <v>1.0</v>
      </c>
      <c r="G20" s="24">
        <v>60.008</v>
      </c>
      <c r="H20" s="8">
        <v>24.8</v>
      </c>
      <c r="I20" s="6">
        <v>2165.5</v>
      </c>
    </row>
    <row r="21">
      <c r="A21" s="5">
        <v>45572.0</v>
      </c>
      <c r="B21" s="6">
        <v>1.0</v>
      </c>
      <c r="C21" s="6" t="s">
        <v>11</v>
      </c>
      <c r="D21" s="6">
        <v>5.0</v>
      </c>
      <c r="F21" s="6">
        <v>2.0</v>
      </c>
      <c r="G21" s="24">
        <v>60.081</v>
      </c>
      <c r="H21" s="8">
        <v>24.8</v>
      </c>
      <c r="I21" s="6">
        <v>2170.5</v>
      </c>
    </row>
    <row r="22">
      <c r="A22" s="5">
        <v>45572.0</v>
      </c>
      <c r="B22" s="6">
        <v>1.0</v>
      </c>
      <c r="C22" s="6" t="s">
        <v>11</v>
      </c>
      <c r="D22" s="6">
        <v>5.0</v>
      </c>
      <c r="F22" s="6">
        <v>3.0</v>
      </c>
      <c r="G22" s="24">
        <v>60.024</v>
      </c>
      <c r="H22" s="8">
        <v>24.7</v>
      </c>
      <c r="I22" s="6">
        <v>2166.6</v>
      </c>
      <c r="J22" s="10">
        <f>Average(I20,I22)</f>
        <v>2166.05</v>
      </c>
    </row>
    <row r="23">
      <c r="A23" s="5">
        <v>45572.0</v>
      </c>
      <c r="B23" s="6">
        <v>1.0</v>
      </c>
      <c r="C23" s="6" t="s">
        <v>11</v>
      </c>
      <c r="D23" s="6">
        <v>6.0</v>
      </c>
      <c r="E23" s="10">
        <f>57.922+180</f>
        <v>237.922</v>
      </c>
      <c r="F23" s="6">
        <v>1.0</v>
      </c>
      <c r="G23" s="24">
        <v>60.034</v>
      </c>
      <c r="H23" s="8">
        <v>24.6</v>
      </c>
      <c r="I23" s="6">
        <v>2166.3</v>
      </c>
    </row>
    <row r="24">
      <c r="A24" s="5">
        <v>45572.0</v>
      </c>
      <c r="B24" s="6">
        <v>1.0</v>
      </c>
      <c r="C24" s="6" t="s">
        <v>11</v>
      </c>
      <c r="D24" s="6">
        <v>6.0</v>
      </c>
      <c r="F24" s="6">
        <v>2.0</v>
      </c>
      <c r="G24" s="24">
        <v>60.058</v>
      </c>
      <c r="H24" s="8">
        <v>24.5</v>
      </c>
      <c r="I24" s="6">
        <v>2153.1</v>
      </c>
    </row>
    <row r="25">
      <c r="A25" s="5">
        <v>45572.0</v>
      </c>
      <c r="B25" s="6">
        <v>1.0</v>
      </c>
      <c r="C25" s="6" t="s">
        <v>11</v>
      </c>
      <c r="D25" s="6">
        <v>6.0</v>
      </c>
      <c r="F25" s="6">
        <v>3.0</v>
      </c>
      <c r="G25" s="24">
        <v>60.016</v>
      </c>
      <c r="H25" s="8">
        <v>24.5</v>
      </c>
      <c r="I25" s="6">
        <v>2163.8</v>
      </c>
      <c r="J25" s="10">
        <f>Average(I25,I23)</f>
        <v>2165.05</v>
      </c>
    </row>
    <row r="26">
      <c r="A26" s="5">
        <v>45572.0</v>
      </c>
      <c r="B26" s="6">
        <v>1.0</v>
      </c>
      <c r="C26" s="6" t="s">
        <v>11</v>
      </c>
      <c r="D26" s="6">
        <v>7.0</v>
      </c>
      <c r="E26" s="10">
        <f>54.048+180</f>
        <v>234.048</v>
      </c>
      <c r="F26" s="6">
        <v>1.0</v>
      </c>
      <c r="G26" s="24">
        <v>60.065</v>
      </c>
      <c r="H26" s="8"/>
      <c r="I26" s="6">
        <v>2168.5</v>
      </c>
    </row>
    <row r="27">
      <c r="A27" s="5">
        <v>45572.0</v>
      </c>
      <c r="B27" s="6">
        <v>1.0</v>
      </c>
      <c r="C27" s="6" t="s">
        <v>11</v>
      </c>
      <c r="D27" s="6">
        <v>7.0</v>
      </c>
      <c r="F27" s="6">
        <v>2.0</v>
      </c>
      <c r="G27" s="24">
        <v>60.063</v>
      </c>
      <c r="H27" s="8">
        <v>24.4</v>
      </c>
      <c r="I27" s="6">
        <v>2166.2</v>
      </c>
      <c r="J27" s="10">
        <f>Average(I26:I27)</f>
        <v>2167.35</v>
      </c>
    </row>
    <row r="28">
      <c r="A28" s="5"/>
      <c r="C28" s="6" t="s">
        <v>11</v>
      </c>
      <c r="G28" s="24"/>
      <c r="H28" s="8"/>
    </row>
    <row r="29">
      <c r="A29" s="5">
        <v>45572.0</v>
      </c>
      <c r="B29" s="6">
        <v>1.0</v>
      </c>
      <c r="C29" s="6" t="s">
        <v>11</v>
      </c>
      <c r="D29" s="6">
        <v>8.0</v>
      </c>
      <c r="E29" s="10">
        <f>54.257+180</f>
        <v>234.257</v>
      </c>
      <c r="F29" s="6">
        <v>1.0</v>
      </c>
      <c r="G29" s="24">
        <v>60.023</v>
      </c>
      <c r="H29" s="8">
        <v>24.5</v>
      </c>
      <c r="I29" s="6">
        <v>2163.0</v>
      </c>
    </row>
    <row r="30">
      <c r="A30" s="5">
        <v>45572.0</v>
      </c>
      <c r="B30" s="6">
        <v>1.0</v>
      </c>
      <c r="C30" s="6" t="s">
        <v>11</v>
      </c>
      <c r="D30" s="6">
        <v>8.0</v>
      </c>
      <c r="F30" s="6">
        <v>2.0</v>
      </c>
      <c r="G30" s="24">
        <v>60.054</v>
      </c>
      <c r="H30" s="8">
        <v>24.4</v>
      </c>
      <c r="I30" s="6">
        <v>2165.6</v>
      </c>
      <c r="J30" s="10">
        <f>Average(I29:I30)</f>
        <v>2164.3</v>
      </c>
    </row>
    <row r="31">
      <c r="A31" s="5"/>
      <c r="C31" s="6" t="s">
        <v>11</v>
      </c>
      <c r="G31" s="24"/>
      <c r="H31" s="8"/>
    </row>
    <row r="32">
      <c r="A32" s="5">
        <v>45572.0</v>
      </c>
      <c r="B32" s="6">
        <v>1.0</v>
      </c>
      <c r="C32" s="6" t="s">
        <v>11</v>
      </c>
      <c r="D32" s="6">
        <v>9.0</v>
      </c>
      <c r="E32" s="10">
        <f>64.794+180</f>
        <v>244.794</v>
      </c>
      <c r="F32" s="6">
        <v>1.0</v>
      </c>
      <c r="G32" s="24">
        <v>60.023</v>
      </c>
      <c r="H32" s="8">
        <v>24.5</v>
      </c>
      <c r="I32" s="6">
        <v>2174.2</v>
      </c>
    </row>
    <row r="33">
      <c r="A33" s="5">
        <v>45572.0</v>
      </c>
      <c r="B33" s="6">
        <v>1.0</v>
      </c>
      <c r="C33" s="6" t="s">
        <v>11</v>
      </c>
      <c r="D33" s="6">
        <v>9.0</v>
      </c>
      <c r="F33" s="6">
        <v>2.0</v>
      </c>
      <c r="G33" s="24">
        <v>60.023</v>
      </c>
      <c r="H33" s="8">
        <v>24.5</v>
      </c>
      <c r="I33" s="6">
        <v>2175.6</v>
      </c>
      <c r="J33" s="10">
        <f>Average(I32:I33)</f>
        <v>2174.9</v>
      </c>
    </row>
    <row r="34">
      <c r="A34" s="5"/>
      <c r="C34" s="6" t="s">
        <v>11</v>
      </c>
      <c r="G34" s="24"/>
      <c r="H34" s="8"/>
    </row>
    <row r="35">
      <c r="A35" s="5">
        <v>45572.0</v>
      </c>
      <c r="B35" s="6">
        <v>1.0</v>
      </c>
      <c r="C35" s="6" t="s">
        <v>11</v>
      </c>
      <c r="D35" s="6">
        <v>10.0</v>
      </c>
      <c r="E35" s="10">
        <f>56.066+180</f>
        <v>236.066</v>
      </c>
      <c r="F35" s="6">
        <v>1.0</v>
      </c>
      <c r="G35" s="24">
        <v>60.008</v>
      </c>
      <c r="H35" s="8">
        <v>24.5</v>
      </c>
      <c r="I35" s="6">
        <v>2197.1</v>
      </c>
    </row>
    <row r="36">
      <c r="A36" s="5">
        <v>45572.0</v>
      </c>
      <c r="B36" s="6">
        <v>1.0</v>
      </c>
      <c r="C36" s="6" t="s">
        <v>11</v>
      </c>
      <c r="D36" s="6">
        <v>10.0</v>
      </c>
      <c r="F36" s="6">
        <v>2.0</v>
      </c>
      <c r="G36" s="24">
        <v>60.027</v>
      </c>
      <c r="H36" s="8">
        <v>24.4</v>
      </c>
      <c r="I36" s="6">
        <v>2198.4</v>
      </c>
      <c r="J36" s="10">
        <f>Average(I35:I36)</f>
        <v>2197.75</v>
      </c>
    </row>
    <row r="37">
      <c r="A37" s="5"/>
      <c r="C37" s="6" t="s">
        <v>11</v>
      </c>
      <c r="G37" s="24"/>
      <c r="H37" s="8"/>
    </row>
    <row r="38">
      <c r="A38" s="5">
        <v>45572.0</v>
      </c>
      <c r="B38" s="6">
        <v>1.0</v>
      </c>
      <c r="C38" s="6" t="s">
        <v>11</v>
      </c>
      <c r="D38" s="6">
        <v>11.0</v>
      </c>
      <c r="E38" s="10">
        <f>59.787+180</f>
        <v>239.787</v>
      </c>
      <c r="F38" s="6">
        <v>1.0</v>
      </c>
      <c r="G38" s="24">
        <v>60.034</v>
      </c>
      <c r="H38" s="8">
        <v>24.5</v>
      </c>
      <c r="I38" s="6">
        <v>2194.3</v>
      </c>
    </row>
    <row r="39">
      <c r="A39" s="5">
        <v>45572.0</v>
      </c>
      <c r="B39" s="6">
        <v>1.0</v>
      </c>
      <c r="C39" s="6" t="s">
        <v>11</v>
      </c>
      <c r="D39" s="6">
        <v>11.0</v>
      </c>
      <c r="F39" s="6">
        <v>2.0</v>
      </c>
      <c r="G39" s="24">
        <v>60.022</v>
      </c>
      <c r="H39" s="8"/>
      <c r="I39" s="6">
        <v>2189.6</v>
      </c>
    </row>
    <row r="40">
      <c r="A40" s="5">
        <v>45572.0</v>
      </c>
      <c r="B40" s="6">
        <v>1.0</v>
      </c>
      <c r="C40" s="6" t="s">
        <v>11</v>
      </c>
      <c r="D40" s="6">
        <v>11.0</v>
      </c>
      <c r="F40" s="6">
        <v>3.0</v>
      </c>
      <c r="G40" s="24">
        <v>60.05</v>
      </c>
      <c r="H40" s="8">
        <v>24.5</v>
      </c>
      <c r="I40" s="6">
        <v>2192.1</v>
      </c>
      <c r="J40" s="10">
        <f>Average(I38,I40)</f>
        <v>2193.2</v>
      </c>
    </row>
    <row r="41">
      <c r="A41" s="5">
        <v>45572.0</v>
      </c>
      <c r="B41" s="6">
        <v>1.0</v>
      </c>
      <c r="C41" s="6" t="s">
        <v>11</v>
      </c>
      <c r="D41" s="6">
        <v>12.0</v>
      </c>
      <c r="E41" s="10">
        <f>61.683+180</f>
        <v>241.683</v>
      </c>
      <c r="F41" s="6">
        <v>1.0</v>
      </c>
      <c r="G41" s="24">
        <v>60.037</v>
      </c>
      <c r="H41" s="8">
        <v>24.5</v>
      </c>
      <c r="I41" s="6">
        <v>2191.3</v>
      </c>
    </row>
    <row r="42">
      <c r="A42" s="5">
        <v>45572.0</v>
      </c>
      <c r="B42" s="6">
        <v>1.0</v>
      </c>
      <c r="C42" s="6" t="s">
        <v>11</v>
      </c>
      <c r="D42" s="6">
        <v>12.0</v>
      </c>
      <c r="F42" s="6">
        <v>2.0</v>
      </c>
      <c r="G42" s="24">
        <v>60.071</v>
      </c>
      <c r="H42" s="8">
        <v>24.4</v>
      </c>
      <c r="I42" s="6">
        <v>2174.9</v>
      </c>
    </row>
    <row r="43">
      <c r="A43" s="5">
        <v>45572.0</v>
      </c>
      <c r="B43" s="6">
        <v>1.0</v>
      </c>
      <c r="C43" s="6" t="s">
        <v>11</v>
      </c>
      <c r="D43" s="6">
        <v>12.0</v>
      </c>
      <c r="F43" s="6">
        <v>3.0</v>
      </c>
      <c r="G43" s="24">
        <v>60.056</v>
      </c>
      <c r="H43" s="8">
        <v>24.3</v>
      </c>
      <c r="I43" s="6">
        <v>2198.4</v>
      </c>
      <c r="J43" s="10">
        <f>Average(I43,I41)</f>
        <v>2194.85</v>
      </c>
    </row>
    <row r="44">
      <c r="A44" s="5">
        <v>45572.0</v>
      </c>
      <c r="B44" s="6">
        <v>1.0</v>
      </c>
      <c r="C44" s="6" t="s">
        <v>11</v>
      </c>
      <c r="D44" s="6">
        <v>13.0</v>
      </c>
      <c r="E44" s="10">
        <f>45.723+180</f>
        <v>225.723</v>
      </c>
      <c r="F44" s="6">
        <v>1.0</v>
      </c>
      <c r="G44" s="24">
        <v>60.026</v>
      </c>
      <c r="H44" s="8">
        <v>24.4</v>
      </c>
      <c r="I44" s="6">
        <v>2201.1</v>
      </c>
    </row>
    <row r="45">
      <c r="A45" s="5">
        <v>45572.0</v>
      </c>
      <c r="B45" s="6">
        <v>1.0</v>
      </c>
      <c r="C45" s="6" t="s">
        <v>11</v>
      </c>
      <c r="D45" s="6">
        <v>13.0</v>
      </c>
      <c r="F45" s="6">
        <v>2.0</v>
      </c>
      <c r="G45" s="24">
        <v>60.006</v>
      </c>
      <c r="H45" s="8">
        <v>24.4</v>
      </c>
      <c r="I45" s="6">
        <v>2198.1</v>
      </c>
      <c r="J45" s="10">
        <f>Average(I44:I45)</f>
        <v>2199.6</v>
      </c>
    </row>
    <row r="46">
      <c r="A46" s="5"/>
      <c r="C46" s="6" t="s">
        <v>11</v>
      </c>
      <c r="G46" s="24"/>
      <c r="H46" s="8"/>
    </row>
    <row r="47">
      <c r="A47" s="5">
        <v>45572.0</v>
      </c>
      <c r="B47" s="6">
        <v>2.0</v>
      </c>
      <c r="C47" s="6" t="s">
        <v>11</v>
      </c>
      <c r="D47" s="1">
        <v>14.0</v>
      </c>
      <c r="F47" s="6">
        <v>1.0</v>
      </c>
      <c r="G47" s="24">
        <v>60.04</v>
      </c>
      <c r="H47" s="8">
        <v>25.0</v>
      </c>
      <c r="I47" s="6">
        <v>2192.4</v>
      </c>
    </row>
    <row r="48">
      <c r="A48" s="5">
        <v>45572.0</v>
      </c>
      <c r="B48" s="6">
        <v>2.0</v>
      </c>
      <c r="C48" s="6" t="s">
        <v>11</v>
      </c>
      <c r="D48" s="1">
        <v>14.0</v>
      </c>
      <c r="F48" s="6">
        <v>2.0</v>
      </c>
      <c r="G48" s="24">
        <v>60.069</v>
      </c>
      <c r="H48" s="8">
        <v>24.9</v>
      </c>
      <c r="I48" s="6">
        <v>2183.8</v>
      </c>
    </row>
    <row r="49">
      <c r="A49" s="5">
        <v>45572.0</v>
      </c>
      <c r="B49" s="6">
        <v>2.0</v>
      </c>
      <c r="C49" s="6" t="s">
        <v>11</v>
      </c>
      <c r="D49" s="1">
        <v>14.0</v>
      </c>
      <c r="F49" s="6">
        <v>3.0</v>
      </c>
      <c r="G49" s="24">
        <v>60.023</v>
      </c>
      <c r="H49" s="8">
        <v>24.8</v>
      </c>
      <c r="I49" s="6">
        <v>2190.2</v>
      </c>
      <c r="J49" s="10">
        <f>Average(I47,I49)</f>
        <v>2191.3</v>
      </c>
    </row>
    <row r="50">
      <c r="A50" s="5">
        <v>45572.0</v>
      </c>
      <c r="B50" s="6">
        <v>2.0</v>
      </c>
      <c r="C50" s="6" t="s">
        <v>11</v>
      </c>
      <c r="D50" s="6">
        <v>15.0</v>
      </c>
      <c r="E50" s="10">
        <f>67.773+180</f>
        <v>247.773</v>
      </c>
      <c r="F50" s="6">
        <v>1.0</v>
      </c>
      <c r="G50" s="24">
        <v>60.01</v>
      </c>
      <c r="H50" s="8">
        <v>25.0</v>
      </c>
      <c r="I50" s="6">
        <v>2172.5</v>
      </c>
    </row>
    <row r="51">
      <c r="A51" s="5">
        <v>45572.0</v>
      </c>
      <c r="B51" s="6">
        <v>2.0</v>
      </c>
      <c r="C51" s="6" t="s">
        <v>11</v>
      </c>
      <c r="D51" s="6">
        <v>15.0</v>
      </c>
      <c r="F51" s="6">
        <v>2.0</v>
      </c>
      <c r="G51" s="24">
        <v>60.062</v>
      </c>
      <c r="H51" s="8">
        <v>24.9</v>
      </c>
      <c r="I51" s="6">
        <v>2173.9</v>
      </c>
      <c r="J51" s="10">
        <f>Average(I50:I51)</f>
        <v>2173.2</v>
      </c>
    </row>
    <row r="52">
      <c r="A52" s="5"/>
      <c r="C52" s="6" t="s">
        <v>11</v>
      </c>
      <c r="G52" s="24"/>
      <c r="H52" s="8"/>
    </row>
    <row r="53">
      <c r="A53" s="5">
        <v>45572.0</v>
      </c>
      <c r="B53" s="6">
        <v>2.0</v>
      </c>
      <c r="C53" s="6" t="s">
        <v>11</v>
      </c>
      <c r="D53" s="6">
        <v>16.0</v>
      </c>
      <c r="E53" s="10">
        <f>59.574+180</f>
        <v>239.574</v>
      </c>
      <c r="F53" s="6">
        <v>1.0</v>
      </c>
      <c r="G53" s="24">
        <v>60.052</v>
      </c>
      <c r="H53" s="8">
        <v>24.9</v>
      </c>
      <c r="I53" s="6">
        <v>2185.2</v>
      </c>
    </row>
    <row r="54">
      <c r="A54" s="5">
        <v>45572.0</v>
      </c>
      <c r="B54" s="6">
        <v>2.0</v>
      </c>
      <c r="C54" s="6" t="s">
        <v>11</v>
      </c>
      <c r="D54" s="6">
        <v>16.0</v>
      </c>
      <c r="F54" s="6">
        <v>2.0</v>
      </c>
      <c r="G54" s="24">
        <v>60.058</v>
      </c>
      <c r="H54" s="8">
        <v>24.8</v>
      </c>
      <c r="I54" s="6">
        <v>2185.6</v>
      </c>
      <c r="J54" s="10">
        <f>Average(I53:I54)</f>
        <v>2185.4</v>
      </c>
    </row>
    <row r="55">
      <c r="A55" s="5"/>
      <c r="B55" s="6">
        <v>2.0</v>
      </c>
      <c r="C55" s="6" t="s">
        <v>11</v>
      </c>
      <c r="G55" s="24"/>
      <c r="H55" s="8"/>
    </row>
    <row r="56">
      <c r="A56" s="5">
        <v>45572.0</v>
      </c>
      <c r="B56" s="6">
        <v>2.0</v>
      </c>
      <c r="C56" s="6" t="s">
        <v>11</v>
      </c>
      <c r="D56" s="6">
        <v>17.0</v>
      </c>
      <c r="E56" s="10">
        <f>57.645+180</f>
        <v>237.645</v>
      </c>
      <c r="F56" s="6">
        <v>1.0</v>
      </c>
      <c r="G56" s="24">
        <v>60.016</v>
      </c>
      <c r="H56" s="8">
        <v>24.9</v>
      </c>
      <c r="I56" s="6">
        <v>2190.5</v>
      </c>
    </row>
    <row r="57">
      <c r="A57" s="5">
        <v>45572.0</v>
      </c>
      <c r="B57" s="6">
        <v>2.0</v>
      </c>
      <c r="C57" s="6" t="s">
        <v>11</v>
      </c>
      <c r="D57" s="6">
        <v>17.0</v>
      </c>
      <c r="F57" s="6">
        <v>2.0</v>
      </c>
      <c r="G57" s="24">
        <v>60.017</v>
      </c>
      <c r="H57" s="8">
        <v>24.9</v>
      </c>
      <c r="I57" s="6">
        <v>2181.1</v>
      </c>
    </row>
    <row r="58">
      <c r="A58" s="5">
        <v>45572.0</v>
      </c>
      <c r="B58" s="6">
        <v>2.0</v>
      </c>
      <c r="C58" s="6" t="s">
        <v>11</v>
      </c>
      <c r="D58" s="6">
        <v>17.0</v>
      </c>
      <c r="F58" s="6">
        <v>3.0</v>
      </c>
      <c r="G58" s="24">
        <v>60.038</v>
      </c>
      <c r="H58" s="8">
        <v>24.7</v>
      </c>
      <c r="I58" s="6">
        <v>2188.2</v>
      </c>
      <c r="J58" s="10">
        <f>Average(I56,I58)</f>
        <v>2189.35</v>
      </c>
    </row>
    <row r="59">
      <c r="A59" s="5">
        <v>45572.0</v>
      </c>
      <c r="B59" s="6">
        <v>2.0</v>
      </c>
      <c r="C59" s="6" t="s">
        <v>11</v>
      </c>
      <c r="D59" s="6">
        <v>18.0</v>
      </c>
      <c r="E59" s="10">
        <f>62.932+180</f>
        <v>242.932</v>
      </c>
      <c r="F59" s="6">
        <v>1.0</v>
      </c>
      <c r="G59" s="24">
        <v>60.05</v>
      </c>
      <c r="H59" s="8">
        <v>24.8</v>
      </c>
      <c r="I59" s="6">
        <v>2179.0</v>
      </c>
    </row>
    <row r="60">
      <c r="A60" s="5">
        <v>45572.0</v>
      </c>
      <c r="B60" s="6">
        <v>2.0</v>
      </c>
      <c r="C60" s="6" t="s">
        <v>11</v>
      </c>
      <c r="D60" s="6">
        <v>18.0</v>
      </c>
      <c r="F60" s="6">
        <v>2.0</v>
      </c>
      <c r="G60" s="24">
        <v>60.057</v>
      </c>
      <c r="H60" s="8">
        <v>24.7</v>
      </c>
      <c r="I60" s="6">
        <v>2186.9</v>
      </c>
    </row>
    <row r="61">
      <c r="A61" s="5">
        <v>45572.0</v>
      </c>
      <c r="B61" s="6">
        <v>2.0</v>
      </c>
      <c r="C61" s="6" t="s">
        <v>11</v>
      </c>
      <c r="D61" s="6">
        <v>18.0</v>
      </c>
      <c r="F61" s="6">
        <v>3.0</v>
      </c>
      <c r="G61" s="24">
        <v>60.047</v>
      </c>
      <c r="H61" s="8">
        <v>24.7</v>
      </c>
      <c r="I61" s="6">
        <v>2182.9</v>
      </c>
      <c r="J61" s="10">
        <f>Average(I61,I59)</f>
        <v>2180.95</v>
      </c>
    </row>
    <row r="62">
      <c r="A62" s="5">
        <v>45572.0</v>
      </c>
      <c r="B62" s="6">
        <v>2.0</v>
      </c>
      <c r="C62" s="6" t="s">
        <v>11</v>
      </c>
      <c r="D62" s="6">
        <v>19.0</v>
      </c>
      <c r="E62" s="10">
        <f>63.647+180</f>
        <v>243.647</v>
      </c>
      <c r="F62" s="6">
        <v>1.0</v>
      </c>
      <c r="G62" s="24">
        <v>60.047</v>
      </c>
      <c r="H62" s="8">
        <v>24.7</v>
      </c>
      <c r="I62" s="6">
        <v>2170.7</v>
      </c>
    </row>
    <row r="63">
      <c r="A63" s="5">
        <v>45572.0</v>
      </c>
      <c r="B63" s="6">
        <v>2.0</v>
      </c>
      <c r="C63" s="6" t="s">
        <v>11</v>
      </c>
      <c r="D63" s="6">
        <v>19.0</v>
      </c>
      <c r="F63" s="6">
        <v>2.0</v>
      </c>
      <c r="G63" s="24">
        <v>60.05</v>
      </c>
      <c r="H63" s="8">
        <v>24.7</v>
      </c>
      <c r="I63" s="6">
        <v>2176.7</v>
      </c>
    </row>
    <row r="64">
      <c r="A64" s="5">
        <v>45572.0</v>
      </c>
      <c r="B64" s="6">
        <v>2.0</v>
      </c>
      <c r="C64" s="6" t="s">
        <v>11</v>
      </c>
      <c r="D64" s="6">
        <v>19.0</v>
      </c>
      <c r="F64" s="6">
        <v>3.0</v>
      </c>
      <c r="G64" s="24">
        <v>60.003</v>
      </c>
      <c r="H64" s="8">
        <v>24.7</v>
      </c>
      <c r="I64" s="6">
        <v>2172.6</v>
      </c>
      <c r="J64" s="10">
        <f>Average(I64,I62)</f>
        <v>2171.65</v>
      </c>
    </row>
    <row r="65">
      <c r="A65" s="5">
        <v>45572.0</v>
      </c>
      <c r="B65" s="6">
        <v>2.0</v>
      </c>
      <c r="C65" s="6" t="s">
        <v>11</v>
      </c>
      <c r="D65" s="6">
        <v>20.0</v>
      </c>
      <c r="E65" s="10">
        <f>59.983+180</f>
        <v>239.983</v>
      </c>
      <c r="F65" s="6">
        <v>1.0</v>
      </c>
      <c r="G65" s="24">
        <v>60.039</v>
      </c>
      <c r="H65" s="8">
        <v>24.7</v>
      </c>
      <c r="I65" s="6">
        <v>2189.5</v>
      </c>
    </row>
    <row r="66">
      <c r="A66" s="5">
        <v>45572.0</v>
      </c>
      <c r="B66" s="6">
        <v>2.0</v>
      </c>
      <c r="C66" s="6" t="s">
        <v>11</v>
      </c>
      <c r="D66" s="6">
        <v>20.0</v>
      </c>
      <c r="F66" s="6">
        <v>2.0</v>
      </c>
      <c r="G66" s="24">
        <v>60.0</v>
      </c>
      <c r="H66" s="8">
        <v>24.6</v>
      </c>
      <c r="I66" s="6">
        <v>2186.1</v>
      </c>
      <c r="J66" s="10">
        <f>Average(I65:I66)</f>
        <v>2187.8</v>
      </c>
    </row>
    <row r="67">
      <c r="A67" s="5"/>
      <c r="B67" s="6">
        <v>2.0</v>
      </c>
      <c r="C67" s="6" t="s">
        <v>11</v>
      </c>
      <c r="G67" s="24"/>
      <c r="H67" s="11"/>
    </row>
    <row r="68">
      <c r="A68" s="5">
        <v>45572.0</v>
      </c>
      <c r="B68" s="6">
        <v>2.0</v>
      </c>
      <c r="C68" s="6" t="s">
        <v>11</v>
      </c>
      <c r="D68" s="6">
        <v>21.0</v>
      </c>
      <c r="E68" s="10">
        <f>56.278+180</f>
        <v>236.278</v>
      </c>
      <c r="F68" s="6">
        <v>1.0</v>
      </c>
      <c r="G68" s="24">
        <v>60.054</v>
      </c>
      <c r="H68" s="8">
        <v>24.7</v>
      </c>
      <c r="I68" s="6">
        <v>2192.5</v>
      </c>
    </row>
    <row r="69">
      <c r="A69" s="5">
        <v>45572.0</v>
      </c>
      <c r="B69" s="6">
        <v>2.0</v>
      </c>
      <c r="C69" s="6" t="s">
        <v>11</v>
      </c>
      <c r="D69" s="6">
        <v>21.0</v>
      </c>
      <c r="F69" s="6">
        <v>2.0</v>
      </c>
      <c r="G69" s="24">
        <v>60.012</v>
      </c>
      <c r="H69" s="8">
        <v>24.6</v>
      </c>
      <c r="I69" s="6">
        <v>2186.5</v>
      </c>
    </row>
    <row r="70">
      <c r="A70" s="5">
        <v>45572.0</v>
      </c>
      <c r="B70" s="6">
        <v>2.0</v>
      </c>
      <c r="C70" s="6" t="s">
        <v>11</v>
      </c>
      <c r="D70" s="6">
        <v>21.0</v>
      </c>
      <c r="F70" s="6">
        <v>3.0</v>
      </c>
      <c r="G70" s="24">
        <v>60.068</v>
      </c>
      <c r="H70" s="11"/>
      <c r="I70" s="6">
        <v>2189.2</v>
      </c>
      <c r="J70" s="10">
        <f>Average(I69:I70)</f>
        <v>2187.85</v>
      </c>
    </row>
    <row r="71">
      <c r="A71" s="5">
        <v>45572.0</v>
      </c>
      <c r="B71" s="6">
        <v>2.0</v>
      </c>
      <c r="C71" s="6" t="s">
        <v>11</v>
      </c>
      <c r="D71" s="6">
        <v>22.0</v>
      </c>
      <c r="E71" s="10">
        <f>63.032+180</f>
        <v>243.032</v>
      </c>
      <c r="F71" s="6">
        <v>1.0</v>
      </c>
      <c r="G71" s="24">
        <v>60.036</v>
      </c>
      <c r="H71" s="8">
        <v>24.6</v>
      </c>
      <c r="I71" s="6">
        <v>2135.0</v>
      </c>
    </row>
    <row r="72">
      <c r="A72" s="5">
        <v>45572.0</v>
      </c>
      <c r="B72" s="6">
        <v>2.0</v>
      </c>
      <c r="C72" s="6" t="s">
        <v>11</v>
      </c>
      <c r="D72" s="6">
        <v>22.0</v>
      </c>
      <c r="F72" s="6">
        <v>2.0</v>
      </c>
      <c r="G72" s="24">
        <v>60.0</v>
      </c>
      <c r="H72" s="8">
        <v>24.5</v>
      </c>
      <c r="I72" s="6">
        <v>2138.6</v>
      </c>
      <c r="J72" s="10">
        <f>Average(I71:I72)</f>
        <v>2136.8</v>
      </c>
    </row>
    <row r="73">
      <c r="A73" s="5"/>
      <c r="B73" s="6">
        <v>2.0</v>
      </c>
      <c r="C73" s="6" t="s">
        <v>11</v>
      </c>
      <c r="G73" s="24"/>
      <c r="H73" s="8"/>
    </row>
    <row r="74">
      <c r="A74" s="5">
        <v>45572.0</v>
      </c>
      <c r="B74" s="6">
        <v>2.0</v>
      </c>
      <c r="C74" s="6" t="s">
        <v>11</v>
      </c>
      <c r="D74" s="6">
        <v>23.0</v>
      </c>
      <c r="E74" s="10">
        <f>60.595+180</f>
        <v>240.595</v>
      </c>
      <c r="F74" s="6">
        <v>1.0</v>
      </c>
      <c r="G74" s="24">
        <v>60.007</v>
      </c>
      <c r="H74" s="8">
        <v>24.5</v>
      </c>
      <c r="I74" s="6">
        <v>2180.9</v>
      </c>
    </row>
    <row r="75">
      <c r="A75" s="5">
        <v>45572.0</v>
      </c>
      <c r="B75" s="6">
        <v>2.0</v>
      </c>
      <c r="C75" s="6" t="s">
        <v>11</v>
      </c>
      <c r="D75" s="6">
        <v>23.0</v>
      </c>
      <c r="F75" s="6">
        <v>2.0</v>
      </c>
      <c r="G75" s="24">
        <v>60.062</v>
      </c>
      <c r="H75" s="8">
        <v>24.6</v>
      </c>
      <c r="I75" s="6">
        <v>2180.3</v>
      </c>
      <c r="J75" s="10">
        <f>Average(I74:I75)</f>
        <v>2180.6</v>
      </c>
    </row>
    <row r="76">
      <c r="A76" s="5"/>
      <c r="B76" s="6">
        <v>2.0</v>
      </c>
      <c r="C76" s="6" t="s">
        <v>11</v>
      </c>
      <c r="G76" s="24"/>
      <c r="H76" s="8"/>
    </row>
    <row r="77">
      <c r="A77" s="5">
        <v>45572.0</v>
      </c>
      <c r="B77" s="6">
        <v>2.0</v>
      </c>
      <c r="C77" s="6" t="s">
        <v>11</v>
      </c>
      <c r="D77" s="6">
        <v>24.0</v>
      </c>
      <c r="E77" s="10">
        <f>59.624+180</f>
        <v>239.624</v>
      </c>
      <c r="F77" s="6">
        <v>1.0</v>
      </c>
      <c r="G77" s="24">
        <v>60.036</v>
      </c>
      <c r="H77" s="8">
        <v>24.5</v>
      </c>
      <c r="I77" s="6">
        <v>2193.9</v>
      </c>
    </row>
    <row r="78">
      <c r="A78" s="5">
        <v>45572.0</v>
      </c>
      <c r="B78" s="6">
        <v>2.0</v>
      </c>
      <c r="C78" s="6" t="s">
        <v>11</v>
      </c>
      <c r="D78" s="6">
        <v>24.0</v>
      </c>
      <c r="F78" s="6">
        <v>2.0</v>
      </c>
      <c r="G78" s="24">
        <v>60.019</v>
      </c>
      <c r="H78" s="8">
        <v>24.5</v>
      </c>
      <c r="I78" s="6">
        <v>2192.1</v>
      </c>
      <c r="J78" s="10">
        <f>Average(I77:I78)</f>
        <v>2193</v>
      </c>
    </row>
    <row r="79">
      <c r="A79" s="5"/>
      <c r="B79" s="6">
        <v>2.0</v>
      </c>
      <c r="C79" s="6" t="s">
        <v>11</v>
      </c>
      <c r="G79" s="24"/>
    </row>
    <row r="80">
      <c r="A80" s="5">
        <v>45572.0</v>
      </c>
      <c r="B80" s="6">
        <v>2.0</v>
      </c>
      <c r="C80" s="6" t="s">
        <v>11</v>
      </c>
      <c r="D80" s="6">
        <v>25.0</v>
      </c>
      <c r="E80" s="10">
        <f>62.38+180</f>
        <v>242.38</v>
      </c>
      <c r="F80" s="6">
        <v>1.0</v>
      </c>
      <c r="G80" s="24">
        <v>60.088</v>
      </c>
      <c r="H80" s="8">
        <v>24.6</v>
      </c>
      <c r="I80" s="6">
        <v>2172.2</v>
      </c>
    </row>
    <row r="81">
      <c r="A81" s="5">
        <v>45572.0</v>
      </c>
      <c r="B81" s="6">
        <v>2.0</v>
      </c>
      <c r="C81" s="6" t="s">
        <v>11</v>
      </c>
      <c r="D81" s="6">
        <v>25.0</v>
      </c>
      <c r="F81" s="6">
        <v>2.0</v>
      </c>
      <c r="G81" s="24">
        <v>60.035</v>
      </c>
      <c r="H81" s="8">
        <v>24.6</v>
      </c>
      <c r="I81" s="6">
        <v>2172.4</v>
      </c>
      <c r="J81" s="10">
        <f>Average(I80:I81)</f>
        <v>2172.3</v>
      </c>
    </row>
    <row r="82">
      <c r="A82" s="5"/>
      <c r="B82" s="6">
        <v>2.0</v>
      </c>
      <c r="C82" s="6" t="s">
        <v>11</v>
      </c>
      <c r="G82" s="24"/>
      <c r="H82" s="8"/>
    </row>
    <row r="83">
      <c r="A83" s="5">
        <v>45572.0</v>
      </c>
      <c r="B83" s="6">
        <v>2.0</v>
      </c>
      <c r="C83" s="6" t="s">
        <v>11</v>
      </c>
      <c r="D83" s="6">
        <v>26.0</v>
      </c>
      <c r="E83" s="10">
        <f>44.372+180</f>
        <v>224.372</v>
      </c>
      <c r="F83" s="6">
        <v>1.0</v>
      </c>
      <c r="G83" s="24">
        <v>60.034</v>
      </c>
      <c r="H83" s="8">
        <v>24.6</v>
      </c>
      <c r="I83" s="6">
        <v>2196.4</v>
      </c>
    </row>
    <row r="84">
      <c r="A84" s="5">
        <v>45572.0</v>
      </c>
      <c r="B84" s="6">
        <v>2.0</v>
      </c>
      <c r="C84" s="6" t="s">
        <v>11</v>
      </c>
      <c r="D84" s="6">
        <v>26.0</v>
      </c>
      <c r="F84" s="6">
        <v>2.0</v>
      </c>
      <c r="G84" s="24">
        <v>60.039</v>
      </c>
      <c r="H84" s="8">
        <v>24.6</v>
      </c>
      <c r="I84" s="6">
        <v>2189.8</v>
      </c>
    </row>
    <row r="85">
      <c r="A85" s="5">
        <v>45572.0</v>
      </c>
      <c r="B85" s="6">
        <v>2.0</v>
      </c>
      <c r="C85" s="6" t="s">
        <v>11</v>
      </c>
      <c r="D85" s="6">
        <v>26.0</v>
      </c>
      <c r="F85" s="6">
        <v>3.0</v>
      </c>
      <c r="G85" s="24">
        <v>60.036</v>
      </c>
      <c r="H85" s="8">
        <v>24.5</v>
      </c>
      <c r="I85" s="6">
        <v>2196.8</v>
      </c>
      <c r="J85" s="10">
        <f>Average(I83,I85)</f>
        <v>2196.6</v>
      </c>
    </row>
    <row r="86">
      <c r="A86" s="5">
        <v>45572.0</v>
      </c>
      <c r="B86" s="6">
        <v>3.0</v>
      </c>
      <c r="C86" s="6" t="s">
        <v>11</v>
      </c>
      <c r="D86" s="1">
        <v>27.0</v>
      </c>
      <c r="F86" s="6">
        <v>1.0</v>
      </c>
      <c r="G86" s="24">
        <v>60.066</v>
      </c>
      <c r="H86" s="8">
        <v>25.0</v>
      </c>
      <c r="I86" s="6">
        <v>2197.0</v>
      </c>
    </row>
    <row r="87">
      <c r="A87" s="5">
        <v>45572.0</v>
      </c>
      <c r="B87" s="6">
        <v>3.0</v>
      </c>
      <c r="C87" s="6" t="s">
        <v>11</v>
      </c>
      <c r="D87" s="1">
        <v>27.0</v>
      </c>
      <c r="F87" s="6">
        <v>2.0</v>
      </c>
      <c r="G87" s="24">
        <v>60.063</v>
      </c>
      <c r="H87" s="8">
        <v>25.0</v>
      </c>
      <c r="I87" s="6">
        <v>2198.1</v>
      </c>
      <c r="J87" s="10">
        <f>Average(I86:I87)</f>
        <v>2197.55</v>
      </c>
    </row>
    <row r="88">
      <c r="A88" s="5"/>
      <c r="B88" s="6">
        <v>3.0</v>
      </c>
      <c r="C88" s="6" t="s">
        <v>11</v>
      </c>
      <c r="D88" s="1"/>
      <c r="G88" s="24"/>
      <c r="H88" s="8"/>
    </row>
    <row r="89">
      <c r="A89" s="5">
        <v>45572.0</v>
      </c>
      <c r="B89" s="6">
        <v>3.0</v>
      </c>
      <c r="C89" s="6" t="s">
        <v>11</v>
      </c>
      <c r="D89" s="6">
        <v>28.0</v>
      </c>
      <c r="E89" s="10">
        <f>66.751+180</f>
        <v>246.751</v>
      </c>
      <c r="F89" s="6">
        <v>1.0</v>
      </c>
      <c r="G89" s="24">
        <v>60.062</v>
      </c>
      <c r="H89" s="8">
        <v>25.2</v>
      </c>
      <c r="I89" s="6">
        <v>2187.4</v>
      </c>
    </row>
    <row r="90">
      <c r="A90" s="5">
        <v>45572.0</v>
      </c>
      <c r="B90" s="6">
        <v>3.0</v>
      </c>
      <c r="C90" s="6" t="s">
        <v>11</v>
      </c>
      <c r="D90" s="6">
        <v>28.0</v>
      </c>
      <c r="F90" s="6">
        <v>2.0</v>
      </c>
      <c r="G90" s="24">
        <v>60.063</v>
      </c>
      <c r="H90" s="8">
        <v>25.1</v>
      </c>
      <c r="I90" s="6">
        <v>2182.0</v>
      </c>
    </row>
    <row r="91">
      <c r="A91" s="5">
        <v>45572.0</v>
      </c>
      <c r="B91" s="6">
        <v>3.0</v>
      </c>
      <c r="C91" s="6" t="s">
        <v>11</v>
      </c>
      <c r="D91" s="6">
        <v>28.0</v>
      </c>
      <c r="F91" s="6">
        <v>3.0</v>
      </c>
      <c r="G91" s="24">
        <v>60.032</v>
      </c>
      <c r="H91" s="8">
        <v>25.0</v>
      </c>
      <c r="I91" s="6">
        <v>2182.2</v>
      </c>
      <c r="J91" s="10">
        <f>Average(I90:I91)</f>
        <v>2182.1</v>
      </c>
    </row>
    <row r="92">
      <c r="A92" s="5">
        <v>45572.0</v>
      </c>
      <c r="B92" s="6">
        <v>3.0</v>
      </c>
      <c r="C92" s="6" t="s">
        <v>11</v>
      </c>
      <c r="D92" s="12">
        <v>29.0</v>
      </c>
      <c r="E92" s="10">
        <f>61.549+180</f>
        <v>241.549</v>
      </c>
      <c r="F92" s="6">
        <v>1.0</v>
      </c>
      <c r="G92" s="24">
        <v>60.04</v>
      </c>
      <c r="H92" s="8">
        <v>25.0</v>
      </c>
      <c r="I92" s="6">
        <v>2182.7</v>
      </c>
    </row>
    <row r="93">
      <c r="A93" s="5">
        <v>45572.0</v>
      </c>
      <c r="B93" s="6">
        <v>3.0</v>
      </c>
      <c r="C93" s="6" t="s">
        <v>11</v>
      </c>
      <c r="D93" s="12">
        <v>29.0</v>
      </c>
      <c r="F93" s="6">
        <v>2.0</v>
      </c>
      <c r="G93" s="24">
        <v>60.005</v>
      </c>
      <c r="H93" s="8">
        <v>24.9</v>
      </c>
      <c r="I93" s="6">
        <v>2177.0</v>
      </c>
    </row>
    <row r="94">
      <c r="A94" s="5">
        <v>45572.0</v>
      </c>
      <c r="B94" s="6">
        <v>3.0</v>
      </c>
      <c r="C94" s="6" t="s">
        <v>11</v>
      </c>
      <c r="D94" s="12">
        <v>29.0</v>
      </c>
      <c r="F94" s="6">
        <v>3.0</v>
      </c>
      <c r="G94" s="24">
        <v>60.015</v>
      </c>
      <c r="H94" s="8">
        <v>24.8</v>
      </c>
      <c r="I94" s="6">
        <v>2178.8</v>
      </c>
      <c r="J94" s="10">
        <f>Average(I93:I94)</f>
        <v>2177.9</v>
      </c>
    </row>
    <row r="95">
      <c r="A95" s="5">
        <v>45572.0</v>
      </c>
      <c r="B95" s="6">
        <v>3.0</v>
      </c>
      <c r="C95" s="6" t="s">
        <v>11</v>
      </c>
      <c r="D95" s="12">
        <v>30.0</v>
      </c>
      <c r="E95" s="10">
        <f>51.47+180</f>
        <v>231.47</v>
      </c>
      <c r="F95" s="6">
        <v>1.0</v>
      </c>
      <c r="G95" s="24">
        <v>60.047</v>
      </c>
      <c r="H95" s="8">
        <v>24.9</v>
      </c>
      <c r="I95" s="6">
        <v>2166.9</v>
      </c>
    </row>
    <row r="96">
      <c r="A96" s="5">
        <v>45572.0</v>
      </c>
      <c r="B96" s="6">
        <v>3.0</v>
      </c>
      <c r="C96" s="6" t="s">
        <v>11</v>
      </c>
      <c r="D96" s="12">
        <v>30.0</v>
      </c>
      <c r="F96" s="6">
        <v>2.0</v>
      </c>
      <c r="G96" s="24">
        <v>60.046</v>
      </c>
      <c r="H96" s="8">
        <v>24.8</v>
      </c>
      <c r="I96" s="6">
        <v>2165.8</v>
      </c>
      <c r="J96" s="10">
        <f>Average(I95:I96)</f>
        <v>2166.35</v>
      </c>
    </row>
    <row r="97">
      <c r="A97" s="5"/>
      <c r="B97" s="6">
        <v>3.0</v>
      </c>
      <c r="C97" s="6" t="s">
        <v>11</v>
      </c>
      <c r="D97" s="12"/>
      <c r="G97" s="24"/>
      <c r="H97" s="8"/>
    </row>
    <row r="98">
      <c r="A98" s="5">
        <v>45572.0</v>
      </c>
      <c r="B98" s="6">
        <v>3.0</v>
      </c>
      <c r="C98" s="6" t="s">
        <v>11</v>
      </c>
      <c r="D98" s="12">
        <v>31.0</v>
      </c>
      <c r="E98" s="6">
        <f>65.322+180</f>
        <v>245.322</v>
      </c>
      <c r="F98" s="6">
        <v>1.0</v>
      </c>
      <c r="G98" s="24">
        <v>60.004</v>
      </c>
      <c r="H98" s="8">
        <v>24.9</v>
      </c>
      <c r="I98" s="6">
        <v>2191.6</v>
      </c>
    </row>
    <row r="99">
      <c r="A99" s="5">
        <v>45572.0</v>
      </c>
      <c r="B99" s="6">
        <v>3.0</v>
      </c>
      <c r="C99" s="6" t="s">
        <v>11</v>
      </c>
      <c r="D99" s="12">
        <v>31.0</v>
      </c>
      <c r="F99" s="6">
        <v>2.0</v>
      </c>
      <c r="G99" s="24">
        <v>60.059</v>
      </c>
      <c r="H99" s="8">
        <v>24.7</v>
      </c>
      <c r="I99" s="6">
        <v>2187.4</v>
      </c>
    </row>
    <row r="100">
      <c r="A100" s="5">
        <v>45572.0</v>
      </c>
      <c r="B100" s="6">
        <v>3.0</v>
      </c>
      <c r="C100" s="6" t="s">
        <v>11</v>
      </c>
      <c r="D100" s="12">
        <v>31.0</v>
      </c>
      <c r="F100" s="6">
        <v>3.0</v>
      </c>
      <c r="G100" s="24">
        <v>60.006</v>
      </c>
      <c r="H100" s="8">
        <v>24.6</v>
      </c>
      <c r="I100" s="6">
        <v>2193.0</v>
      </c>
      <c r="J100" s="10">
        <f>Average(I98,I100)</f>
        <v>2192.3</v>
      </c>
    </row>
    <row r="101">
      <c r="A101" s="5">
        <v>45572.0</v>
      </c>
      <c r="B101" s="6">
        <v>3.0</v>
      </c>
      <c r="C101" s="6" t="s">
        <v>11</v>
      </c>
      <c r="D101" s="12">
        <v>32.0</v>
      </c>
      <c r="E101" s="10">
        <f>60.433+180</f>
        <v>240.433</v>
      </c>
      <c r="F101" s="6">
        <v>1.0</v>
      </c>
      <c r="G101" s="24">
        <v>60.068</v>
      </c>
      <c r="H101" s="8">
        <v>24.7</v>
      </c>
      <c r="I101" s="6">
        <v>2192.1</v>
      </c>
    </row>
    <row r="102">
      <c r="A102" s="5">
        <v>45572.0</v>
      </c>
      <c r="B102" s="6">
        <v>3.0</v>
      </c>
      <c r="C102" s="6" t="s">
        <v>11</v>
      </c>
      <c r="D102" s="12">
        <v>32.0</v>
      </c>
      <c r="F102" s="6">
        <v>2.0</v>
      </c>
      <c r="G102" s="24">
        <v>60.044</v>
      </c>
      <c r="H102" s="8">
        <v>24.6</v>
      </c>
      <c r="I102" s="6">
        <v>2194.4</v>
      </c>
      <c r="J102" s="10">
        <f>Average(I100,I102)</f>
        <v>2193.7</v>
      </c>
    </row>
    <row r="103">
      <c r="A103" s="5"/>
      <c r="B103" s="6">
        <v>3.0</v>
      </c>
      <c r="D103" s="12"/>
      <c r="G103" s="24"/>
      <c r="H103" s="8"/>
    </row>
    <row r="104">
      <c r="A104" s="5">
        <v>45572.0</v>
      </c>
      <c r="B104" s="6">
        <v>3.0</v>
      </c>
      <c r="C104" s="6" t="s">
        <v>11</v>
      </c>
      <c r="D104" s="12">
        <v>33.0</v>
      </c>
      <c r="E104" s="10">
        <f>58.497+180</f>
        <v>238.497</v>
      </c>
      <c r="F104" s="6">
        <v>1.0</v>
      </c>
      <c r="G104" s="24">
        <v>60.049</v>
      </c>
      <c r="H104" s="8">
        <v>24.6</v>
      </c>
      <c r="I104" s="6">
        <v>2164.1</v>
      </c>
    </row>
    <row r="105">
      <c r="A105" s="5">
        <v>45572.0</v>
      </c>
      <c r="B105" s="6">
        <v>3.0</v>
      </c>
      <c r="C105" s="6" t="s">
        <v>11</v>
      </c>
      <c r="D105" s="12">
        <v>33.0</v>
      </c>
      <c r="F105" s="6">
        <v>2.0</v>
      </c>
      <c r="G105" s="24">
        <v>60.013</v>
      </c>
      <c r="H105" s="8">
        <v>24.6</v>
      </c>
      <c r="I105" s="6">
        <v>2167.0</v>
      </c>
      <c r="J105" s="10">
        <f>Average(I103,I105)</f>
        <v>2167</v>
      </c>
    </row>
    <row r="106">
      <c r="A106" s="5"/>
      <c r="B106" s="6">
        <v>3.0</v>
      </c>
      <c r="C106" s="6" t="s">
        <v>11</v>
      </c>
      <c r="D106" s="12"/>
      <c r="G106" s="24"/>
      <c r="H106" s="8"/>
    </row>
    <row r="107">
      <c r="A107" s="5">
        <v>45572.0</v>
      </c>
      <c r="B107" s="6">
        <v>3.0</v>
      </c>
      <c r="C107" s="6" t="s">
        <v>11</v>
      </c>
      <c r="D107" s="12">
        <v>34.0</v>
      </c>
      <c r="E107" s="10">
        <f>62.267+180</f>
        <v>242.267</v>
      </c>
      <c r="F107" s="6">
        <v>1.0</v>
      </c>
      <c r="G107" s="24">
        <v>60.044</v>
      </c>
      <c r="H107" s="8">
        <v>24.4</v>
      </c>
      <c r="I107" s="6">
        <v>2199.2</v>
      </c>
    </row>
    <row r="108">
      <c r="A108" s="5">
        <v>45572.0</v>
      </c>
      <c r="B108" s="6">
        <v>3.0</v>
      </c>
      <c r="C108" s="6" t="s">
        <v>11</v>
      </c>
      <c r="D108" s="12">
        <v>34.0</v>
      </c>
      <c r="F108" s="6">
        <v>2.0</v>
      </c>
      <c r="G108" s="24">
        <v>60.057</v>
      </c>
      <c r="H108" s="8">
        <v>24.3</v>
      </c>
      <c r="I108" s="6">
        <v>2188.5</v>
      </c>
    </row>
    <row r="109">
      <c r="A109" s="5">
        <v>45572.0</v>
      </c>
      <c r="B109" s="6">
        <v>3.0</v>
      </c>
      <c r="C109" s="6" t="s">
        <v>11</v>
      </c>
      <c r="D109" s="12">
        <v>34.0</v>
      </c>
      <c r="F109" s="6">
        <v>3.0</v>
      </c>
      <c r="G109" s="24">
        <v>60.009</v>
      </c>
      <c r="H109" s="8">
        <v>24.2</v>
      </c>
      <c r="I109" s="6">
        <v>2200.0</v>
      </c>
      <c r="J109" s="10">
        <f>Average(I107,I109)</f>
        <v>2199.6</v>
      </c>
    </row>
    <row r="110">
      <c r="A110" s="5">
        <v>45572.0</v>
      </c>
      <c r="B110" s="6">
        <v>3.0</v>
      </c>
      <c r="C110" s="6" t="s">
        <v>11</v>
      </c>
      <c r="D110" s="12">
        <v>35.0</v>
      </c>
      <c r="E110" s="10">
        <f>64.838+180</f>
        <v>244.838</v>
      </c>
      <c r="F110" s="6">
        <v>1.0</v>
      </c>
      <c r="G110" s="24">
        <v>60.006</v>
      </c>
      <c r="H110" s="8">
        <v>24.1</v>
      </c>
      <c r="I110" s="6">
        <v>2189.8</v>
      </c>
    </row>
    <row r="111">
      <c r="A111" s="5">
        <v>45572.0</v>
      </c>
      <c r="B111" s="6">
        <v>3.0</v>
      </c>
      <c r="C111" s="6" t="s">
        <v>11</v>
      </c>
      <c r="D111" s="12">
        <v>35.0</v>
      </c>
      <c r="F111" s="6">
        <v>2.0</v>
      </c>
      <c r="G111" s="24">
        <v>60.065</v>
      </c>
      <c r="H111" s="8">
        <v>24.0</v>
      </c>
      <c r="I111" s="6">
        <v>2194.3</v>
      </c>
    </row>
    <row r="112">
      <c r="A112" s="5">
        <v>45572.0</v>
      </c>
      <c r="B112" s="6">
        <v>3.0</v>
      </c>
      <c r="C112" s="6" t="s">
        <v>11</v>
      </c>
      <c r="D112" s="12">
        <v>35.0</v>
      </c>
      <c r="F112" s="6">
        <v>3.0</v>
      </c>
      <c r="G112" s="24">
        <v>60.004</v>
      </c>
      <c r="H112" s="8">
        <v>23.9</v>
      </c>
      <c r="I112" s="6">
        <v>2194.6</v>
      </c>
      <c r="J112" s="10">
        <f>Average(I111:I112)</f>
        <v>2194.45</v>
      </c>
    </row>
    <row r="113">
      <c r="A113" s="5">
        <v>45572.0</v>
      </c>
      <c r="B113" s="6">
        <v>3.0</v>
      </c>
      <c r="C113" s="6" t="s">
        <v>11</v>
      </c>
      <c r="D113" s="12">
        <v>36.0</v>
      </c>
      <c r="E113" s="10">
        <f>57.333+180</f>
        <v>237.333</v>
      </c>
      <c r="F113" s="6">
        <v>1.0</v>
      </c>
      <c r="G113" s="24">
        <v>60.025</v>
      </c>
      <c r="H113" s="8">
        <v>24.2</v>
      </c>
      <c r="I113" s="6">
        <v>2207.9</v>
      </c>
    </row>
    <row r="114">
      <c r="A114" s="5">
        <v>45572.0</v>
      </c>
      <c r="B114" s="6">
        <v>3.0</v>
      </c>
      <c r="C114" s="6" t="s">
        <v>11</v>
      </c>
      <c r="D114" s="12">
        <v>36.0</v>
      </c>
      <c r="F114" s="6">
        <v>2.0</v>
      </c>
      <c r="G114" s="24">
        <v>60.067</v>
      </c>
      <c r="H114" s="8">
        <v>24.0</v>
      </c>
      <c r="I114" s="6">
        <v>2204.6</v>
      </c>
      <c r="J114" s="10">
        <f>Average(I113:I114)</f>
        <v>2206.25</v>
      </c>
    </row>
    <row r="115">
      <c r="A115" s="5"/>
      <c r="B115" s="6">
        <v>3.0</v>
      </c>
      <c r="C115" s="6" t="s">
        <v>11</v>
      </c>
      <c r="D115" s="12"/>
      <c r="G115" s="24"/>
      <c r="H115" s="8"/>
    </row>
    <row r="116">
      <c r="A116" s="5">
        <v>45572.0</v>
      </c>
      <c r="B116" s="6">
        <v>3.0</v>
      </c>
      <c r="C116" s="6" t="s">
        <v>11</v>
      </c>
      <c r="D116" s="12">
        <v>37.0</v>
      </c>
      <c r="E116" s="10">
        <f>59.308+180</f>
        <v>239.308</v>
      </c>
      <c r="F116" s="6">
        <v>1.0</v>
      </c>
      <c r="G116" s="24">
        <v>60.054</v>
      </c>
      <c r="H116" s="8">
        <v>24.1</v>
      </c>
      <c r="I116" s="6">
        <v>2189.5</v>
      </c>
    </row>
    <row r="117">
      <c r="A117" s="5">
        <v>45572.0</v>
      </c>
      <c r="B117" s="6">
        <v>3.0</v>
      </c>
      <c r="C117" s="6" t="s">
        <v>11</v>
      </c>
      <c r="D117" s="12">
        <v>37.0</v>
      </c>
      <c r="F117" s="6">
        <v>2.0</v>
      </c>
      <c r="G117" s="24">
        <v>60.034</v>
      </c>
      <c r="H117" s="8">
        <v>24.1</v>
      </c>
      <c r="I117" s="6">
        <v>2184.3</v>
      </c>
    </row>
    <row r="118">
      <c r="A118" s="5">
        <v>45572.0</v>
      </c>
      <c r="B118" s="6">
        <v>3.0</v>
      </c>
      <c r="C118" s="6" t="s">
        <v>11</v>
      </c>
      <c r="D118" s="12">
        <v>37.0</v>
      </c>
      <c r="F118" s="6">
        <v>3.0</v>
      </c>
      <c r="G118" s="24">
        <v>60.044</v>
      </c>
      <c r="H118" s="8">
        <v>24.1</v>
      </c>
      <c r="I118" s="6">
        <v>2184.4</v>
      </c>
      <c r="J118" s="10">
        <f>Average(I117:I118)</f>
        <v>2184.35</v>
      </c>
    </row>
    <row r="119">
      <c r="A119" s="5">
        <v>45572.0</v>
      </c>
      <c r="B119" s="6">
        <v>3.0</v>
      </c>
      <c r="C119" s="6" t="s">
        <v>11</v>
      </c>
      <c r="D119" s="12">
        <v>38.0</v>
      </c>
      <c r="E119" s="10">
        <f>57.394+180</f>
        <v>237.394</v>
      </c>
      <c r="F119" s="6">
        <v>1.0</v>
      </c>
      <c r="G119" s="24">
        <v>60.035</v>
      </c>
      <c r="H119" s="8">
        <v>24.1</v>
      </c>
      <c r="I119" s="6">
        <v>2195.0</v>
      </c>
    </row>
    <row r="120">
      <c r="A120" s="5">
        <v>45572.0</v>
      </c>
      <c r="B120" s="6">
        <v>3.0</v>
      </c>
      <c r="C120" s="6" t="s">
        <v>11</v>
      </c>
      <c r="D120" s="12">
        <v>38.0</v>
      </c>
      <c r="F120" s="6">
        <v>2.0</v>
      </c>
      <c r="G120" s="24">
        <v>60.033</v>
      </c>
      <c r="H120" s="8">
        <v>24.1</v>
      </c>
      <c r="I120" s="6">
        <v>2192.0</v>
      </c>
      <c r="J120" s="10">
        <f>Average(I119:I120)</f>
        <v>2193.5</v>
      </c>
    </row>
    <row r="121">
      <c r="A121" s="5"/>
      <c r="B121" s="6">
        <v>3.0</v>
      </c>
      <c r="C121" s="6" t="s">
        <v>11</v>
      </c>
      <c r="D121" s="12"/>
      <c r="G121" s="24"/>
      <c r="H121" s="8"/>
    </row>
    <row r="122">
      <c r="A122" s="5">
        <v>45572.0</v>
      </c>
      <c r="B122" s="6">
        <v>3.0</v>
      </c>
      <c r="C122" s="6" t="s">
        <v>11</v>
      </c>
      <c r="D122" s="12">
        <v>39.0</v>
      </c>
      <c r="E122" s="10">
        <f>45.461+180</f>
        <v>225.461</v>
      </c>
      <c r="F122" s="6">
        <v>1.0</v>
      </c>
      <c r="G122" s="24">
        <v>60.036</v>
      </c>
      <c r="H122" s="8">
        <v>24.3</v>
      </c>
      <c r="I122" s="6">
        <v>2197.3</v>
      </c>
    </row>
    <row r="123">
      <c r="A123" s="5">
        <v>45572.0</v>
      </c>
      <c r="B123" s="6">
        <v>3.0</v>
      </c>
      <c r="C123" s="6" t="s">
        <v>11</v>
      </c>
      <c r="D123" s="12">
        <v>39.0</v>
      </c>
      <c r="F123" s="6">
        <v>2.0</v>
      </c>
      <c r="G123" s="24">
        <v>60.027</v>
      </c>
      <c r="H123" s="8">
        <v>24.3</v>
      </c>
      <c r="I123" s="6">
        <v>2196.7</v>
      </c>
      <c r="J123" s="10">
        <f>Average(I122:I123)</f>
        <v>2197</v>
      </c>
    </row>
    <row r="124">
      <c r="A124" s="5"/>
      <c r="B124" s="6">
        <v>3.0</v>
      </c>
      <c r="C124" s="6" t="s">
        <v>11</v>
      </c>
      <c r="D124" s="12"/>
      <c r="G124" s="24"/>
      <c r="H124" s="8"/>
    </row>
    <row r="125">
      <c r="A125" s="5">
        <v>45572.0</v>
      </c>
      <c r="B125" s="6">
        <v>4.0</v>
      </c>
      <c r="C125" s="6" t="s">
        <v>11</v>
      </c>
      <c r="D125" s="13">
        <v>40.0</v>
      </c>
      <c r="F125" s="6">
        <v>1.0</v>
      </c>
      <c r="G125" s="24">
        <v>60.08</v>
      </c>
      <c r="H125" s="8">
        <v>24.4</v>
      </c>
      <c r="I125" s="6">
        <v>2189.3</v>
      </c>
    </row>
    <row r="126">
      <c r="A126" s="5">
        <v>45572.0</v>
      </c>
      <c r="B126" s="6">
        <v>4.0</v>
      </c>
      <c r="C126" s="6" t="s">
        <v>11</v>
      </c>
      <c r="D126" s="13">
        <v>40.0</v>
      </c>
      <c r="F126" s="6">
        <v>2.0</v>
      </c>
      <c r="G126" s="24">
        <v>60.022</v>
      </c>
      <c r="H126" s="8">
        <v>24.3</v>
      </c>
      <c r="I126" s="6">
        <v>2195.7</v>
      </c>
    </row>
    <row r="127">
      <c r="A127" s="5">
        <v>45572.0</v>
      </c>
      <c r="B127" s="6">
        <v>4.0</v>
      </c>
      <c r="C127" s="6" t="s">
        <v>11</v>
      </c>
      <c r="D127" s="13">
        <v>40.0</v>
      </c>
      <c r="F127" s="6">
        <v>3.0</v>
      </c>
      <c r="G127" s="24">
        <v>60.058</v>
      </c>
      <c r="H127" s="8">
        <v>24.3</v>
      </c>
      <c r="I127" s="6">
        <v>2191.1</v>
      </c>
      <c r="J127" s="10">
        <f>Average(I127,I125)</f>
        <v>2190.2</v>
      </c>
    </row>
    <row r="128">
      <c r="A128" s="5">
        <v>45572.0</v>
      </c>
      <c r="B128" s="6">
        <v>4.0</v>
      </c>
      <c r="C128" s="6" t="s">
        <v>11</v>
      </c>
      <c r="D128" s="14">
        <v>41.0</v>
      </c>
      <c r="E128" s="10">
        <f>65.768+180</f>
        <v>245.768</v>
      </c>
      <c r="F128" s="6">
        <v>1.0</v>
      </c>
      <c r="G128" s="24">
        <v>60.064</v>
      </c>
      <c r="H128" s="8">
        <v>24.4</v>
      </c>
      <c r="I128" s="6">
        <v>2171.2</v>
      </c>
    </row>
    <row r="129">
      <c r="A129" s="5">
        <v>45572.0</v>
      </c>
      <c r="B129" s="6">
        <v>4.0</v>
      </c>
      <c r="C129" s="6" t="s">
        <v>11</v>
      </c>
      <c r="D129" s="6">
        <v>41.0</v>
      </c>
      <c r="F129" s="6">
        <v>2.0</v>
      </c>
      <c r="G129" s="24">
        <v>60.032</v>
      </c>
      <c r="H129" s="8">
        <v>24.3</v>
      </c>
      <c r="I129" s="6">
        <v>2170.4</v>
      </c>
      <c r="J129" s="10">
        <f>Average(I128:I129)</f>
        <v>2170.8</v>
      </c>
    </row>
    <row r="130">
      <c r="A130" s="5"/>
      <c r="C130" s="6" t="s">
        <v>11</v>
      </c>
      <c r="G130" s="24"/>
      <c r="H130" s="8"/>
    </row>
    <row r="131">
      <c r="A131" s="5">
        <v>45572.0</v>
      </c>
      <c r="B131" s="6">
        <v>4.0</v>
      </c>
      <c r="C131" s="6" t="s">
        <v>11</v>
      </c>
      <c r="D131" s="6">
        <v>42.0</v>
      </c>
      <c r="E131" s="10">
        <f>64.37+180</f>
        <v>244.37</v>
      </c>
      <c r="F131" s="6">
        <v>1.0</v>
      </c>
      <c r="G131" s="24">
        <v>60.056</v>
      </c>
      <c r="H131" s="8">
        <v>24.1</v>
      </c>
      <c r="I131" s="6">
        <v>2200.8</v>
      </c>
    </row>
    <row r="132">
      <c r="A132" s="5">
        <v>45572.0</v>
      </c>
      <c r="B132" s="6">
        <v>4.0</v>
      </c>
      <c r="C132" s="6" t="s">
        <v>11</v>
      </c>
      <c r="D132" s="6">
        <v>42.0</v>
      </c>
      <c r="F132" s="6">
        <v>2.0</v>
      </c>
      <c r="G132" s="24">
        <v>60.083</v>
      </c>
      <c r="H132" s="8">
        <v>24.2</v>
      </c>
      <c r="I132" s="6">
        <v>2199.0</v>
      </c>
      <c r="J132" s="10">
        <f>Average(I131:I132)</f>
        <v>2199.9</v>
      </c>
    </row>
    <row r="133">
      <c r="A133" s="5"/>
      <c r="C133" s="6" t="s">
        <v>11</v>
      </c>
      <c r="G133" s="24"/>
      <c r="H133" s="8"/>
    </row>
    <row r="134">
      <c r="A134" s="5">
        <v>45572.0</v>
      </c>
      <c r="B134" s="6">
        <v>4.0</v>
      </c>
      <c r="C134" s="6" t="s">
        <v>11</v>
      </c>
      <c r="D134" s="6">
        <v>43.0</v>
      </c>
      <c r="E134" s="10">
        <f>57.911+180</f>
        <v>237.911</v>
      </c>
      <c r="F134" s="6">
        <v>1.0</v>
      </c>
      <c r="G134" s="24">
        <v>60.072</v>
      </c>
      <c r="H134" s="8">
        <v>24.3</v>
      </c>
      <c r="I134" s="6">
        <v>2171.2</v>
      </c>
    </row>
    <row r="135">
      <c r="A135" s="5">
        <v>45572.0</v>
      </c>
      <c r="B135" s="6">
        <v>4.0</v>
      </c>
      <c r="C135" s="6" t="s">
        <v>11</v>
      </c>
      <c r="D135" s="6">
        <v>43.0</v>
      </c>
      <c r="F135" s="6">
        <v>2.0</v>
      </c>
      <c r="G135" s="24">
        <v>60.011</v>
      </c>
      <c r="H135" s="8">
        <v>24.2</v>
      </c>
      <c r="I135" s="6">
        <v>2165.4</v>
      </c>
    </row>
    <row r="136">
      <c r="A136" s="5">
        <v>45572.0</v>
      </c>
      <c r="B136" s="6">
        <v>4.0</v>
      </c>
      <c r="C136" s="6" t="s">
        <v>11</v>
      </c>
      <c r="D136" s="6">
        <v>43.0</v>
      </c>
      <c r="F136" s="6">
        <v>3.0</v>
      </c>
      <c r="G136" s="24">
        <v>60.0</v>
      </c>
      <c r="H136" s="8">
        <v>24.1</v>
      </c>
      <c r="I136" s="6">
        <v>2174.4</v>
      </c>
      <c r="J136" s="10">
        <f>Average(I136,I134)</f>
        <v>2172.8</v>
      </c>
    </row>
    <row r="137">
      <c r="A137" s="5">
        <v>45572.0</v>
      </c>
      <c r="B137" s="6">
        <v>4.0</v>
      </c>
      <c r="C137" s="6" t="s">
        <v>11</v>
      </c>
      <c r="D137" s="6">
        <v>44.0</v>
      </c>
      <c r="E137" s="10">
        <f>66.293+180</f>
        <v>246.293</v>
      </c>
      <c r="F137" s="6">
        <v>1.0</v>
      </c>
      <c r="G137" s="24">
        <v>60.095</v>
      </c>
      <c r="H137" s="8">
        <v>24.2</v>
      </c>
      <c r="I137" s="6">
        <v>2193.3</v>
      </c>
    </row>
    <row r="138">
      <c r="A138" s="5">
        <v>45572.0</v>
      </c>
      <c r="B138" s="6">
        <v>4.0</v>
      </c>
      <c r="C138" s="6" t="s">
        <v>11</v>
      </c>
      <c r="D138" s="6">
        <v>44.0</v>
      </c>
      <c r="F138" s="6">
        <v>2.0</v>
      </c>
      <c r="G138" s="24">
        <v>60.008</v>
      </c>
      <c r="H138" s="8">
        <v>24.1</v>
      </c>
      <c r="I138" s="6">
        <v>2190.4</v>
      </c>
      <c r="J138" s="10">
        <f>Average(I137:I138)</f>
        <v>2191.85</v>
      </c>
    </row>
    <row r="139">
      <c r="A139" s="5"/>
      <c r="C139" s="6" t="s">
        <v>11</v>
      </c>
      <c r="G139" s="24"/>
      <c r="H139" s="8"/>
    </row>
    <row r="140">
      <c r="A140" s="5">
        <v>45572.0</v>
      </c>
      <c r="B140" s="6">
        <v>4.0</v>
      </c>
      <c r="C140" s="6" t="s">
        <v>11</v>
      </c>
      <c r="D140" s="6">
        <v>45.0</v>
      </c>
      <c r="E140" s="10">
        <f>59.126+180</f>
        <v>239.126</v>
      </c>
      <c r="F140" s="6">
        <v>1.0</v>
      </c>
      <c r="G140" s="24">
        <v>60.073</v>
      </c>
      <c r="H140" s="8">
        <v>24.1</v>
      </c>
      <c r="I140" s="6">
        <v>2170.3</v>
      </c>
    </row>
    <row r="141">
      <c r="A141" s="5">
        <v>45572.0</v>
      </c>
      <c r="B141" s="6">
        <v>4.0</v>
      </c>
      <c r="C141" s="6" t="s">
        <v>11</v>
      </c>
      <c r="D141" s="6">
        <v>45.0</v>
      </c>
      <c r="F141" s="6">
        <v>2.0</v>
      </c>
      <c r="G141" s="24">
        <v>60.025</v>
      </c>
      <c r="H141" s="8">
        <v>24.1</v>
      </c>
      <c r="I141" s="6">
        <v>2168.0</v>
      </c>
      <c r="J141" s="10">
        <f>Average(I140:I141)</f>
        <v>2169.15</v>
      </c>
    </row>
    <row r="142">
      <c r="A142" s="5"/>
      <c r="C142" s="6" t="s">
        <v>11</v>
      </c>
      <c r="G142" s="24"/>
      <c r="H142" s="8"/>
    </row>
    <row r="143">
      <c r="A143" s="5">
        <v>45572.0</v>
      </c>
      <c r="B143" s="6">
        <v>4.0</v>
      </c>
      <c r="C143" s="6" t="s">
        <v>11</v>
      </c>
      <c r="D143" s="6">
        <v>46.0</v>
      </c>
      <c r="E143" s="10">
        <f>57.278+180</f>
        <v>237.278</v>
      </c>
      <c r="F143" s="6">
        <v>1.0</v>
      </c>
      <c r="G143" s="24">
        <v>60.054</v>
      </c>
      <c r="H143" s="8">
        <v>24.1</v>
      </c>
      <c r="I143" s="6">
        <v>2168.7</v>
      </c>
    </row>
    <row r="144">
      <c r="A144" s="5">
        <v>45572.0</v>
      </c>
      <c r="B144" s="6">
        <v>4.0</v>
      </c>
      <c r="C144" s="6" t="s">
        <v>11</v>
      </c>
      <c r="D144" s="6">
        <v>46.0</v>
      </c>
      <c r="F144" s="6">
        <v>2.0</v>
      </c>
      <c r="G144" s="24">
        <v>60.023</v>
      </c>
      <c r="H144" s="6">
        <v>24.1</v>
      </c>
      <c r="I144" s="6">
        <v>2171.5</v>
      </c>
      <c r="J144" s="10">
        <f>Average(I143:I144)</f>
        <v>2170.1</v>
      </c>
    </row>
    <row r="145">
      <c r="A145" s="5"/>
      <c r="B145" s="6">
        <v>4.0</v>
      </c>
      <c r="C145" s="6" t="s">
        <v>11</v>
      </c>
      <c r="G145" s="24"/>
    </row>
    <row r="146">
      <c r="A146" s="5">
        <v>45572.0</v>
      </c>
      <c r="B146" s="6">
        <v>4.0</v>
      </c>
      <c r="C146" s="6" t="s">
        <v>11</v>
      </c>
      <c r="D146" s="6">
        <v>47.0</v>
      </c>
      <c r="E146" s="10">
        <f>60.229+180</f>
        <v>240.229</v>
      </c>
      <c r="F146" s="6">
        <v>1.0</v>
      </c>
      <c r="G146" s="24">
        <v>60.075</v>
      </c>
      <c r="H146" s="6">
        <v>24.3</v>
      </c>
      <c r="I146" s="6">
        <v>2195.9</v>
      </c>
    </row>
    <row r="147">
      <c r="A147" s="5">
        <v>45572.0</v>
      </c>
      <c r="B147" s="6">
        <v>4.0</v>
      </c>
      <c r="C147" s="6" t="s">
        <v>11</v>
      </c>
      <c r="D147" s="6">
        <v>47.0</v>
      </c>
      <c r="F147" s="6">
        <v>2.0</v>
      </c>
      <c r="G147" s="24">
        <v>60.002</v>
      </c>
      <c r="H147" s="8">
        <v>24.2</v>
      </c>
      <c r="I147" s="6">
        <v>2197.9</v>
      </c>
      <c r="J147" s="10">
        <f>Average(I146:I147)</f>
        <v>2196.9</v>
      </c>
    </row>
    <row r="148">
      <c r="A148" s="5"/>
      <c r="B148" s="6">
        <v>4.0</v>
      </c>
      <c r="C148" s="6" t="s">
        <v>11</v>
      </c>
      <c r="G148" s="24"/>
      <c r="H148" s="8"/>
    </row>
    <row r="149">
      <c r="A149" s="5">
        <v>45572.0</v>
      </c>
      <c r="B149" s="6">
        <v>4.0</v>
      </c>
      <c r="C149" s="6" t="s">
        <v>11</v>
      </c>
      <c r="D149" s="6">
        <v>48.0</v>
      </c>
      <c r="E149" s="10">
        <f>65.032+180</f>
        <v>245.032</v>
      </c>
      <c r="F149" s="6">
        <v>1.0</v>
      </c>
      <c r="G149" s="24">
        <v>60.047</v>
      </c>
      <c r="H149" s="8">
        <v>24.4</v>
      </c>
      <c r="I149" s="6">
        <v>2185.5</v>
      </c>
    </row>
    <row r="150">
      <c r="A150" s="5">
        <v>45572.0</v>
      </c>
      <c r="B150" s="6">
        <v>4.0</v>
      </c>
      <c r="C150" s="6" t="s">
        <v>11</v>
      </c>
      <c r="D150" s="6">
        <v>48.0</v>
      </c>
      <c r="F150" s="6">
        <v>2.0</v>
      </c>
      <c r="G150" s="24">
        <v>60.004</v>
      </c>
      <c r="H150" s="8">
        <v>24.3</v>
      </c>
      <c r="I150" s="6">
        <v>2167.4</v>
      </c>
    </row>
    <row r="151">
      <c r="A151" s="5">
        <v>45572.0</v>
      </c>
      <c r="B151" s="6">
        <v>4.0</v>
      </c>
      <c r="C151" s="6" t="s">
        <v>11</v>
      </c>
      <c r="D151" s="6">
        <v>48.0</v>
      </c>
      <c r="F151" s="6">
        <v>3.0</v>
      </c>
      <c r="G151" s="24">
        <v>60.096</v>
      </c>
      <c r="H151" s="8">
        <v>24.1</v>
      </c>
      <c r="I151" s="6">
        <v>2167.7</v>
      </c>
      <c r="J151" s="10">
        <f>Average(I150:I151)</f>
        <v>2167.55</v>
      </c>
    </row>
    <row r="152">
      <c r="A152" s="5">
        <v>45572.0</v>
      </c>
      <c r="B152" s="6">
        <v>4.0</v>
      </c>
      <c r="C152" s="6" t="s">
        <v>11</v>
      </c>
      <c r="D152" s="6">
        <v>49.0</v>
      </c>
      <c r="E152" s="10">
        <f>59.469+180</f>
        <v>239.469</v>
      </c>
      <c r="F152" s="6">
        <v>1.0</v>
      </c>
      <c r="G152" s="24">
        <v>60.016</v>
      </c>
      <c r="H152" s="8">
        <v>24.2</v>
      </c>
      <c r="I152" s="6">
        <v>2186.0</v>
      </c>
    </row>
    <row r="153">
      <c r="A153" s="5">
        <v>45572.0</v>
      </c>
      <c r="B153" s="6">
        <v>4.0</v>
      </c>
      <c r="C153" s="6" t="s">
        <v>11</v>
      </c>
      <c r="D153" s="6">
        <v>49.0</v>
      </c>
      <c r="F153" s="6">
        <v>2.0</v>
      </c>
      <c r="G153" s="24">
        <v>60.026</v>
      </c>
      <c r="H153" s="8">
        <v>24.2</v>
      </c>
      <c r="I153" s="6">
        <v>2180.6</v>
      </c>
      <c r="J153" s="10">
        <f>Average(I152:I153)</f>
        <v>2183.3</v>
      </c>
    </row>
    <row r="154">
      <c r="A154" s="5">
        <v>45572.0</v>
      </c>
      <c r="B154" s="6">
        <v>4.0</v>
      </c>
      <c r="C154" s="6" t="s">
        <v>11</v>
      </c>
      <c r="D154" s="6">
        <v>49.0</v>
      </c>
      <c r="F154" s="6">
        <v>3.0</v>
      </c>
      <c r="G154" s="24">
        <v>60.031</v>
      </c>
      <c r="H154" s="8">
        <v>24.1</v>
      </c>
      <c r="I154" s="6">
        <v>2173.6</v>
      </c>
    </row>
    <row r="155">
      <c r="A155" s="5">
        <v>45572.0</v>
      </c>
      <c r="B155" s="6">
        <v>4.0</v>
      </c>
      <c r="C155" s="6" t="s">
        <v>11</v>
      </c>
      <c r="D155" s="6">
        <v>50.0</v>
      </c>
      <c r="E155" s="10">
        <f>59.531+180</f>
        <v>239.531</v>
      </c>
      <c r="F155" s="6">
        <v>1.0</v>
      </c>
      <c r="G155" s="24">
        <v>60.028</v>
      </c>
      <c r="H155" s="8">
        <v>24.2</v>
      </c>
      <c r="I155" s="6">
        <v>2164.8</v>
      </c>
    </row>
    <row r="156">
      <c r="A156" s="5">
        <v>45572.0</v>
      </c>
      <c r="B156" s="6">
        <v>4.0</v>
      </c>
      <c r="C156" s="6" t="s">
        <v>11</v>
      </c>
      <c r="D156" s="6">
        <v>50.0</v>
      </c>
      <c r="F156" s="6">
        <v>2.0</v>
      </c>
      <c r="G156" s="24">
        <v>60.045</v>
      </c>
      <c r="H156" s="8">
        <v>24.1</v>
      </c>
      <c r="I156" s="6">
        <v>2165.9</v>
      </c>
      <c r="J156" s="10">
        <f>Average(I155:I156)</f>
        <v>2165.35</v>
      </c>
    </row>
    <row r="157">
      <c r="A157" s="5"/>
      <c r="G157" s="24"/>
      <c r="H157" s="8"/>
    </row>
    <row r="158">
      <c r="A158" s="5">
        <v>45572.0</v>
      </c>
      <c r="B158" s="6">
        <v>4.0</v>
      </c>
      <c r="C158" s="6" t="s">
        <v>11</v>
      </c>
      <c r="D158" s="6">
        <v>51.0</v>
      </c>
      <c r="E158" s="10">
        <f>56.13+180</f>
        <v>236.13</v>
      </c>
      <c r="F158" s="6">
        <v>1.0</v>
      </c>
      <c r="G158" s="24">
        <v>60.023</v>
      </c>
      <c r="H158" s="8">
        <v>24.1</v>
      </c>
      <c r="I158" s="6">
        <v>2177.0</v>
      </c>
    </row>
    <row r="159">
      <c r="A159" s="5">
        <v>45572.0</v>
      </c>
      <c r="B159" s="6">
        <v>4.0</v>
      </c>
      <c r="C159" s="6" t="s">
        <v>11</v>
      </c>
      <c r="D159" s="6">
        <v>51.0</v>
      </c>
      <c r="F159" s="6">
        <v>2.0</v>
      </c>
      <c r="G159" s="24">
        <v>60.032</v>
      </c>
      <c r="H159" s="8">
        <v>24.1</v>
      </c>
      <c r="I159" s="6">
        <v>2172.5</v>
      </c>
    </row>
    <row r="160">
      <c r="A160" s="5">
        <v>45572.0</v>
      </c>
      <c r="B160" s="6">
        <v>4.0</v>
      </c>
      <c r="C160" s="6" t="s">
        <v>11</v>
      </c>
      <c r="D160" s="6">
        <v>51.0</v>
      </c>
      <c r="F160" s="6">
        <v>3.0</v>
      </c>
      <c r="G160" s="24">
        <v>60.051</v>
      </c>
      <c r="H160" s="8">
        <v>24.0</v>
      </c>
      <c r="I160" s="6">
        <v>2179.6</v>
      </c>
      <c r="J160" s="6">
        <f>Average(I158,I160)</f>
        <v>2178.3</v>
      </c>
    </row>
    <row r="161">
      <c r="A161" s="5">
        <v>45572.0</v>
      </c>
      <c r="B161" s="6">
        <v>4.0</v>
      </c>
      <c r="C161" s="6" t="s">
        <v>11</v>
      </c>
      <c r="D161" s="6">
        <v>52.0</v>
      </c>
      <c r="E161" s="10">
        <f>57.123+180</f>
        <v>237.123</v>
      </c>
      <c r="F161" s="6">
        <v>1.0</v>
      </c>
      <c r="G161" s="24">
        <v>60.088</v>
      </c>
      <c r="H161" s="8"/>
      <c r="I161" s="6">
        <v>2170.2</v>
      </c>
    </row>
    <row r="162">
      <c r="A162" s="5">
        <v>45572.0</v>
      </c>
      <c r="B162" s="6">
        <v>4.0</v>
      </c>
      <c r="C162" s="6" t="s">
        <v>11</v>
      </c>
      <c r="D162" s="6">
        <v>52.0</v>
      </c>
      <c r="F162" s="6">
        <v>2.0</v>
      </c>
      <c r="G162" s="24">
        <v>60.05</v>
      </c>
      <c r="H162" s="8">
        <v>23.9</v>
      </c>
      <c r="I162" s="6">
        <v>2175.2</v>
      </c>
    </row>
    <row r="163">
      <c r="A163" s="5">
        <v>45572.0</v>
      </c>
      <c r="B163" s="6">
        <v>4.0</v>
      </c>
      <c r="C163" s="6" t="s">
        <v>11</v>
      </c>
      <c r="D163" s="6">
        <v>52.0</v>
      </c>
      <c r="F163" s="6">
        <v>3.0</v>
      </c>
      <c r="G163" s="25">
        <v>60.045</v>
      </c>
      <c r="H163" s="6">
        <v>23.7</v>
      </c>
      <c r="I163" s="6">
        <v>2168.8</v>
      </c>
      <c r="J163" s="10">
        <f>Average(I161,I163)</f>
        <v>2169.5</v>
      </c>
    </row>
    <row r="164">
      <c r="A164" s="5"/>
      <c r="G164" s="26"/>
    </row>
    <row r="165">
      <c r="A165" s="5"/>
      <c r="G165" s="26"/>
    </row>
    <row r="166">
      <c r="A166" s="5"/>
      <c r="G166" s="26"/>
    </row>
    <row r="167">
      <c r="A167" s="5"/>
      <c r="G167" s="26"/>
    </row>
    <row r="168">
      <c r="A168" s="5"/>
      <c r="G168" s="26"/>
    </row>
    <row r="169">
      <c r="A169" s="5"/>
      <c r="G169" s="26"/>
    </row>
    <row r="170">
      <c r="A170" s="5"/>
      <c r="G170" s="26"/>
    </row>
    <row r="171">
      <c r="A171" s="5"/>
      <c r="G171" s="26"/>
    </row>
    <row r="172">
      <c r="A172" s="5"/>
      <c r="G172" s="26"/>
    </row>
    <row r="173">
      <c r="G173" s="26"/>
    </row>
    <row r="174">
      <c r="G174" s="26"/>
    </row>
    <row r="175">
      <c r="G175" s="26"/>
    </row>
    <row r="176">
      <c r="G176" s="26"/>
    </row>
    <row r="177">
      <c r="G177" s="26"/>
    </row>
    <row r="178">
      <c r="G178" s="26"/>
    </row>
    <row r="179">
      <c r="G179" s="26"/>
    </row>
    <row r="180">
      <c r="G180" s="26"/>
    </row>
    <row r="181">
      <c r="G181" s="26"/>
    </row>
    <row r="182">
      <c r="G182" s="26"/>
    </row>
    <row r="183">
      <c r="G183" s="26"/>
    </row>
    <row r="184">
      <c r="G184" s="26"/>
    </row>
    <row r="185">
      <c r="G185" s="26"/>
    </row>
    <row r="186">
      <c r="G186" s="26"/>
    </row>
    <row r="187">
      <c r="G187" s="26"/>
    </row>
    <row r="188">
      <c r="G188" s="26"/>
    </row>
    <row r="189">
      <c r="G189" s="26"/>
    </row>
    <row r="190">
      <c r="G190" s="26"/>
    </row>
    <row r="191">
      <c r="G191" s="26"/>
    </row>
    <row r="192">
      <c r="G192" s="26"/>
    </row>
    <row r="193">
      <c r="G193" s="26"/>
    </row>
    <row r="194">
      <c r="G194" s="26"/>
    </row>
    <row r="195">
      <c r="G195" s="26"/>
    </row>
    <row r="196">
      <c r="G196" s="26"/>
    </row>
    <row r="197">
      <c r="G197" s="26"/>
    </row>
    <row r="198">
      <c r="G198" s="26"/>
    </row>
    <row r="199">
      <c r="G199" s="26"/>
    </row>
    <row r="200">
      <c r="G200" s="26"/>
    </row>
    <row r="201">
      <c r="G201" s="26"/>
    </row>
    <row r="202">
      <c r="G202" s="26"/>
    </row>
    <row r="203">
      <c r="G203" s="26"/>
    </row>
    <row r="204">
      <c r="G204" s="26"/>
    </row>
    <row r="205">
      <c r="G205" s="26"/>
    </row>
    <row r="206">
      <c r="G206" s="26"/>
    </row>
    <row r="207">
      <c r="G207" s="26"/>
    </row>
    <row r="208">
      <c r="G208" s="26"/>
    </row>
    <row r="209">
      <c r="G209" s="26"/>
    </row>
    <row r="210">
      <c r="G210" s="26"/>
    </row>
    <row r="211">
      <c r="G211" s="26"/>
    </row>
    <row r="212">
      <c r="G212" s="26"/>
    </row>
    <row r="213">
      <c r="G213" s="26"/>
    </row>
    <row r="214">
      <c r="G214" s="26"/>
    </row>
    <row r="215">
      <c r="G215" s="26"/>
    </row>
    <row r="216">
      <c r="G216" s="26"/>
    </row>
    <row r="217">
      <c r="G217" s="26"/>
    </row>
    <row r="218">
      <c r="G218" s="26"/>
    </row>
    <row r="219">
      <c r="G219" s="26"/>
    </row>
    <row r="220">
      <c r="G220" s="26"/>
    </row>
    <row r="221">
      <c r="G221" s="26"/>
    </row>
    <row r="222">
      <c r="G222" s="26"/>
    </row>
    <row r="223">
      <c r="G223" s="26"/>
    </row>
    <row r="224">
      <c r="G224" s="26"/>
    </row>
    <row r="225">
      <c r="G225" s="26"/>
    </row>
    <row r="226">
      <c r="G226" s="26"/>
    </row>
    <row r="227">
      <c r="G227" s="26"/>
    </row>
    <row r="228">
      <c r="G228" s="26"/>
    </row>
    <row r="229">
      <c r="G229" s="26"/>
    </row>
    <row r="230">
      <c r="G230" s="26"/>
    </row>
    <row r="231">
      <c r="G231" s="26"/>
    </row>
    <row r="232">
      <c r="G232" s="26"/>
    </row>
    <row r="233">
      <c r="G233" s="26"/>
    </row>
    <row r="234">
      <c r="G234" s="26"/>
    </row>
    <row r="235">
      <c r="G235" s="26"/>
    </row>
    <row r="236">
      <c r="G236" s="26"/>
    </row>
    <row r="237">
      <c r="G237" s="26"/>
    </row>
    <row r="238">
      <c r="G238" s="26"/>
    </row>
    <row r="239">
      <c r="G239" s="26"/>
    </row>
    <row r="240">
      <c r="G240" s="26"/>
    </row>
    <row r="241">
      <c r="G241" s="26"/>
    </row>
    <row r="242">
      <c r="G242" s="26"/>
    </row>
    <row r="243">
      <c r="G243" s="26"/>
    </row>
    <row r="244">
      <c r="G244" s="26"/>
    </row>
    <row r="245">
      <c r="G245" s="26"/>
    </row>
    <row r="246">
      <c r="G246" s="26"/>
    </row>
    <row r="247">
      <c r="G247" s="26"/>
    </row>
    <row r="248">
      <c r="G248" s="26"/>
    </row>
    <row r="249">
      <c r="G249" s="26"/>
    </row>
    <row r="250">
      <c r="G250" s="26"/>
    </row>
    <row r="251">
      <c r="G251" s="26"/>
    </row>
    <row r="252">
      <c r="G252" s="26"/>
    </row>
    <row r="253">
      <c r="G253" s="26"/>
    </row>
    <row r="254">
      <c r="G254" s="26"/>
    </row>
    <row r="255">
      <c r="G255" s="26"/>
    </row>
    <row r="256">
      <c r="G256" s="26"/>
    </row>
    <row r="257">
      <c r="G257" s="26"/>
    </row>
    <row r="258">
      <c r="G258" s="26"/>
    </row>
    <row r="259">
      <c r="G259" s="26"/>
    </row>
    <row r="260">
      <c r="G260" s="26"/>
    </row>
    <row r="261">
      <c r="G261" s="26"/>
    </row>
    <row r="262">
      <c r="G262" s="26"/>
    </row>
    <row r="263">
      <c r="G263" s="26"/>
    </row>
    <row r="264">
      <c r="G264" s="26"/>
    </row>
    <row r="265">
      <c r="G265" s="26"/>
    </row>
    <row r="266">
      <c r="G266" s="26"/>
    </row>
    <row r="267">
      <c r="G267" s="26"/>
    </row>
    <row r="268">
      <c r="G268" s="26"/>
    </row>
    <row r="269">
      <c r="G269" s="26"/>
    </row>
    <row r="270">
      <c r="G270" s="26"/>
    </row>
    <row r="271">
      <c r="G271" s="26"/>
    </row>
    <row r="272">
      <c r="G272" s="26"/>
    </row>
    <row r="273">
      <c r="G273" s="26"/>
    </row>
    <row r="274">
      <c r="G274" s="26"/>
    </row>
    <row r="275">
      <c r="G275" s="26"/>
    </row>
    <row r="276">
      <c r="G276" s="26"/>
    </row>
    <row r="277">
      <c r="G277" s="26"/>
    </row>
    <row r="278">
      <c r="G278" s="26"/>
    </row>
    <row r="279">
      <c r="G279" s="26"/>
    </row>
    <row r="280">
      <c r="G280" s="26"/>
    </row>
    <row r="281">
      <c r="G281" s="26"/>
    </row>
    <row r="282">
      <c r="G282" s="26"/>
    </row>
    <row r="283">
      <c r="G283" s="26"/>
    </row>
    <row r="284">
      <c r="G284" s="26"/>
    </row>
    <row r="285">
      <c r="G285" s="26"/>
    </row>
    <row r="286">
      <c r="G286" s="26"/>
    </row>
    <row r="287">
      <c r="G287" s="26"/>
    </row>
    <row r="288">
      <c r="G288" s="26"/>
    </row>
    <row r="289">
      <c r="G289" s="26"/>
    </row>
    <row r="290">
      <c r="G290" s="26"/>
    </row>
    <row r="291">
      <c r="G291" s="26"/>
    </row>
    <row r="292">
      <c r="G292" s="26"/>
    </row>
    <row r="293">
      <c r="G293" s="26"/>
    </row>
    <row r="294">
      <c r="G294" s="26"/>
    </row>
    <row r="295">
      <c r="G295" s="26"/>
    </row>
    <row r="296">
      <c r="G296" s="26"/>
    </row>
    <row r="297">
      <c r="G297" s="26"/>
    </row>
    <row r="298">
      <c r="G298" s="26"/>
    </row>
    <row r="299">
      <c r="G299" s="26"/>
    </row>
    <row r="300">
      <c r="G300" s="26"/>
    </row>
    <row r="301">
      <c r="G301" s="26"/>
    </row>
    <row r="302">
      <c r="G302" s="26"/>
    </row>
    <row r="303">
      <c r="G303" s="26"/>
    </row>
    <row r="304">
      <c r="G304" s="26"/>
    </row>
    <row r="305">
      <c r="G305" s="26"/>
    </row>
    <row r="306">
      <c r="G306" s="26"/>
    </row>
    <row r="307">
      <c r="G307" s="26"/>
    </row>
    <row r="308">
      <c r="G308" s="26"/>
    </row>
    <row r="309">
      <c r="G309" s="26"/>
    </row>
    <row r="310">
      <c r="G310" s="26"/>
    </row>
    <row r="311">
      <c r="G311" s="26"/>
    </row>
    <row r="312">
      <c r="G312" s="26"/>
    </row>
    <row r="313">
      <c r="G313" s="26"/>
    </row>
    <row r="314">
      <c r="G314" s="26"/>
    </row>
    <row r="315">
      <c r="G315" s="26"/>
    </row>
    <row r="316">
      <c r="G316" s="26"/>
    </row>
    <row r="317">
      <c r="G317" s="26"/>
    </row>
    <row r="318">
      <c r="G318" s="26"/>
    </row>
    <row r="319">
      <c r="G319" s="26"/>
    </row>
    <row r="320">
      <c r="G320" s="26"/>
    </row>
    <row r="321">
      <c r="G321" s="26"/>
    </row>
    <row r="322">
      <c r="G322" s="26"/>
    </row>
    <row r="323">
      <c r="G323" s="26"/>
    </row>
    <row r="324">
      <c r="G324" s="26"/>
    </row>
    <row r="325">
      <c r="G325" s="26"/>
    </row>
    <row r="326">
      <c r="G326" s="26"/>
    </row>
    <row r="327">
      <c r="G327" s="26"/>
    </row>
    <row r="328">
      <c r="G328" s="26"/>
    </row>
    <row r="329">
      <c r="G329" s="26"/>
    </row>
    <row r="330">
      <c r="G330" s="26"/>
    </row>
    <row r="331">
      <c r="G331" s="26"/>
    </row>
    <row r="332">
      <c r="G332" s="26"/>
    </row>
    <row r="333">
      <c r="G333" s="26"/>
    </row>
    <row r="334">
      <c r="G334" s="26"/>
    </row>
    <row r="335">
      <c r="G335" s="26"/>
    </row>
    <row r="336">
      <c r="G336" s="26"/>
    </row>
    <row r="337">
      <c r="G337" s="26"/>
    </row>
    <row r="338">
      <c r="G338" s="26"/>
    </row>
    <row r="339">
      <c r="G339" s="26"/>
    </row>
    <row r="340">
      <c r="G340" s="26"/>
    </row>
    <row r="341">
      <c r="G341" s="26"/>
    </row>
    <row r="342">
      <c r="G342" s="26"/>
    </row>
    <row r="343">
      <c r="G343" s="26"/>
    </row>
    <row r="344">
      <c r="G344" s="26"/>
    </row>
    <row r="345">
      <c r="G345" s="26"/>
    </row>
    <row r="346">
      <c r="G346" s="26"/>
    </row>
    <row r="347">
      <c r="G347" s="26"/>
    </row>
    <row r="348">
      <c r="G348" s="26"/>
    </row>
    <row r="349">
      <c r="G349" s="26"/>
    </row>
    <row r="350">
      <c r="G350" s="26"/>
    </row>
    <row r="351">
      <c r="G351" s="26"/>
    </row>
    <row r="352">
      <c r="G352" s="26"/>
    </row>
    <row r="353">
      <c r="G353" s="26"/>
    </row>
    <row r="354">
      <c r="G354" s="26"/>
    </row>
    <row r="355">
      <c r="G355" s="26"/>
    </row>
    <row r="356">
      <c r="G356" s="26"/>
    </row>
    <row r="357">
      <c r="G357" s="26"/>
    </row>
    <row r="358">
      <c r="G358" s="26"/>
    </row>
    <row r="359">
      <c r="G359" s="26"/>
    </row>
    <row r="360">
      <c r="G360" s="26"/>
    </row>
    <row r="361">
      <c r="G361" s="26"/>
    </row>
    <row r="362">
      <c r="G362" s="26"/>
    </row>
    <row r="363">
      <c r="G363" s="26"/>
    </row>
    <row r="364">
      <c r="G364" s="26"/>
    </row>
    <row r="365">
      <c r="G365" s="26"/>
    </row>
    <row r="366">
      <c r="G366" s="26"/>
    </row>
    <row r="367">
      <c r="G367" s="26"/>
    </row>
    <row r="368">
      <c r="G368" s="26"/>
    </row>
    <row r="369">
      <c r="G369" s="26"/>
    </row>
    <row r="370">
      <c r="G370" s="26"/>
    </row>
    <row r="371">
      <c r="G371" s="26"/>
    </row>
    <row r="372">
      <c r="G372" s="26"/>
    </row>
    <row r="373">
      <c r="G373" s="26"/>
    </row>
    <row r="374">
      <c r="G374" s="26"/>
    </row>
    <row r="375">
      <c r="G375" s="26"/>
    </row>
    <row r="376">
      <c r="G376" s="26"/>
    </row>
    <row r="377">
      <c r="G377" s="26"/>
    </row>
    <row r="378">
      <c r="G378" s="26"/>
    </row>
    <row r="379">
      <c r="G379" s="26"/>
    </row>
    <row r="380">
      <c r="G380" s="26"/>
    </row>
    <row r="381">
      <c r="G381" s="26"/>
    </row>
    <row r="382">
      <c r="G382" s="26"/>
    </row>
    <row r="383">
      <c r="G383" s="26"/>
    </row>
    <row r="384">
      <c r="G384" s="26"/>
    </row>
    <row r="385">
      <c r="G385" s="26"/>
    </row>
    <row r="386">
      <c r="G386" s="26"/>
    </row>
    <row r="387">
      <c r="G387" s="26"/>
    </row>
    <row r="388">
      <c r="G388" s="26"/>
    </row>
    <row r="389">
      <c r="G389" s="26"/>
    </row>
    <row r="390">
      <c r="G390" s="26"/>
    </row>
    <row r="391">
      <c r="G391" s="26"/>
    </row>
    <row r="392">
      <c r="G392" s="26"/>
    </row>
    <row r="393">
      <c r="G393" s="26"/>
    </row>
    <row r="394">
      <c r="G394" s="26"/>
    </row>
    <row r="395">
      <c r="G395" s="26"/>
    </row>
    <row r="396">
      <c r="G396" s="26"/>
    </row>
    <row r="397">
      <c r="G397" s="26"/>
    </row>
    <row r="398">
      <c r="G398" s="26"/>
    </row>
    <row r="399">
      <c r="G399" s="26"/>
    </row>
    <row r="400">
      <c r="G400" s="26"/>
    </row>
    <row r="401">
      <c r="G401" s="26"/>
    </row>
    <row r="402">
      <c r="G402" s="26"/>
    </row>
    <row r="403">
      <c r="G403" s="26"/>
    </row>
    <row r="404">
      <c r="G404" s="26"/>
    </row>
    <row r="405">
      <c r="G405" s="26"/>
    </row>
    <row r="406">
      <c r="G406" s="26"/>
    </row>
    <row r="407">
      <c r="G407" s="26"/>
    </row>
    <row r="408">
      <c r="G408" s="26"/>
    </row>
    <row r="409">
      <c r="G409" s="26"/>
    </row>
    <row r="410">
      <c r="G410" s="26"/>
    </row>
    <row r="411">
      <c r="G411" s="26"/>
    </row>
    <row r="412">
      <c r="G412" s="26"/>
    </row>
    <row r="413">
      <c r="G413" s="26"/>
    </row>
    <row r="414">
      <c r="G414" s="26"/>
    </row>
    <row r="415">
      <c r="G415" s="26"/>
    </row>
    <row r="416">
      <c r="G416" s="26"/>
    </row>
    <row r="417">
      <c r="G417" s="26"/>
    </row>
    <row r="418">
      <c r="G418" s="26"/>
    </row>
    <row r="419">
      <c r="G419" s="26"/>
    </row>
    <row r="420">
      <c r="G420" s="26"/>
    </row>
    <row r="421">
      <c r="G421" s="26"/>
    </row>
    <row r="422">
      <c r="G422" s="26"/>
    </row>
    <row r="423">
      <c r="G423" s="26"/>
    </row>
    <row r="424">
      <c r="G424" s="26"/>
    </row>
    <row r="425">
      <c r="G425" s="26"/>
    </row>
    <row r="426">
      <c r="G426" s="26"/>
    </row>
    <row r="427">
      <c r="G427" s="26"/>
    </row>
    <row r="428">
      <c r="G428" s="26"/>
    </row>
    <row r="429">
      <c r="G429" s="26"/>
    </row>
    <row r="430">
      <c r="G430" s="26"/>
    </row>
    <row r="431">
      <c r="G431" s="26"/>
    </row>
    <row r="432">
      <c r="G432" s="26"/>
    </row>
    <row r="433">
      <c r="G433" s="26"/>
    </row>
    <row r="434">
      <c r="G434" s="26"/>
    </row>
    <row r="435">
      <c r="G435" s="26"/>
    </row>
    <row r="436">
      <c r="G436" s="26"/>
    </row>
    <row r="437">
      <c r="G437" s="26"/>
    </row>
    <row r="438">
      <c r="G438" s="26"/>
    </row>
    <row r="439">
      <c r="G439" s="26"/>
    </row>
    <row r="440">
      <c r="G440" s="26"/>
    </row>
    <row r="441">
      <c r="G441" s="26"/>
    </row>
    <row r="442">
      <c r="G442" s="26"/>
    </row>
    <row r="443">
      <c r="G443" s="26"/>
    </row>
    <row r="444">
      <c r="G444" s="26"/>
    </row>
    <row r="445">
      <c r="G445" s="26"/>
    </row>
    <row r="446">
      <c r="G446" s="26"/>
    </row>
    <row r="447">
      <c r="G447" s="26"/>
    </row>
    <row r="448">
      <c r="G448" s="26"/>
    </row>
    <row r="449">
      <c r="G449" s="26"/>
    </row>
    <row r="450">
      <c r="G450" s="26"/>
    </row>
    <row r="451">
      <c r="G451" s="26"/>
    </row>
    <row r="452">
      <c r="G452" s="26"/>
    </row>
    <row r="453">
      <c r="G453" s="26"/>
    </row>
    <row r="454">
      <c r="G454" s="26"/>
    </row>
    <row r="455">
      <c r="G455" s="26"/>
    </row>
    <row r="456">
      <c r="G456" s="26"/>
    </row>
    <row r="457">
      <c r="G457" s="26"/>
    </row>
    <row r="458">
      <c r="G458" s="26"/>
    </row>
    <row r="459">
      <c r="G459" s="26"/>
    </row>
    <row r="460">
      <c r="G460" s="26"/>
    </row>
    <row r="461">
      <c r="G461" s="26"/>
    </row>
    <row r="462">
      <c r="G462" s="26"/>
    </row>
    <row r="463">
      <c r="G463" s="26"/>
    </row>
    <row r="464">
      <c r="G464" s="26"/>
    </row>
    <row r="465">
      <c r="G465" s="26"/>
    </row>
    <row r="466">
      <c r="G466" s="26"/>
    </row>
    <row r="467">
      <c r="G467" s="26"/>
    </row>
    <row r="468">
      <c r="G468" s="26"/>
    </row>
    <row r="469">
      <c r="G469" s="26"/>
    </row>
    <row r="470">
      <c r="G470" s="26"/>
    </row>
    <row r="471">
      <c r="G471" s="26"/>
    </row>
    <row r="472">
      <c r="G472" s="26"/>
    </row>
    <row r="473">
      <c r="G473" s="26"/>
    </row>
    <row r="474">
      <c r="G474" s="26"/>
    </row>
    <row r="475">
      <c r="G475" s="26"/>
    </row>
    <row r="476">
      <c r="G476" s="26"/>
    </row>
    <row r="477">
      <c r="G477" s="26"/>
    </row>
    <row r="478">
      <c r="G478" s="26"/>
    </row>
    <row r="479">
      <c r="G479" s="26"/>
    </row>
    <row r="480">
      <c r="G480" s="26"/>
    </row>
    <row r="481">
      <c r="G481" s="26"/>
    </row>
    <row r="482">
      <c r="G482" s="26"/>
    </row>
    <row r="483">
      <c r="G483" s="26"/>
    </row>
    <row r="484">
      <c r="G484" s="26"/>
    </row>
    <row r="485">
      <c r="G485" s="26"/>
    </row>
    <row r="486">
      <c r="G486" s="26"/>
    </row>
    <row r="487">
      <c r="G487" s="26"/>
    </row>
    <row r="488">
      <c r="G488" s="26"/>
    </row>
    <row r="489">
      <c r="G489" s="26"/>
    </row>
    <row r="490">
      <c r="G490" s="26"/>
    </row>
    <row r="491">
      <c r="G491" s="26"/>
    </row>
    <row r="492">
      <c r="G492" s="26"/>
    </row>
    <row r="493">
      <c r="G493" s="26"/>
    </row>
    <row r="494">
      <c r="G494" s="26"/>
    </row>
    <row r="495">
      <c r="G495" s="26"/>
    </row>
    <row r="496">
      <c r="G496" s="26"/>
    </row>
    <row r="497">
      <c r="G497" s="26"/>
    </row>
    <row r="498">
      <c r="G498" s="26"/>
    </row>
    <row r="499">
      <c r="G499" s="26"/>
    </row>
    <row r="500">
      <c r="G500" s="26"/>
    </row>
    <row r="501">
      <c r="G501" s="26"/>
    </row>
    <row r="502">
      <c r="G502" s="26"/>
    </row>
    <row r="503">
      <c r="G503" s="26"/>
    </row>
    <row r="504">
      <c r="G504" s="26"/>
    </row>
    <row r="505">
      <c r="G505" s="26"/>
    </row>
    <row r="506">
      <c r="G506" s="26"/>
    </row>
    <row r="507">
      <c r="G507" s="26"/>
    </row>
    <row r="508">
      <c r="G508" s="26"/>
    </row>
    <row r="509">
      <c r="G509" s="26"/>
    </row>
    <row r="510">
      <c r="G510" s="26"/>
    </row>
    <row r="511">
      <c r="G511" s="26"/>
    </row>
    <row r="512">
      <c r="G512" s="26"/>
    </row>
    <row r="513">
      <c r="G513" s="26"/>
    </row>
    <row r="514">
      <c r="G514" s="26"/>
    </row>
    <row r="515">
      <c r="G515" s="26"/>
    </row>
    <row r="516">
      <c r="G516" s="26"/>
    </row>
    <row r="517">
      <c r="G517" s="26"/>
    </row>
    <row r="518">
      <c r="G518" s="26"/>
    </row>
    <row r="519">
      <c r="G519" s="26"/>
    </row>
    <row r="520">
      <c r="G520" s="26"/>
    </row>
    <row r="521">
      <c r="G521" s="26"/>
    </row>
    <row r="522">
      <c r="G522" s="26"/>
    </row>
    <row r="523">
      <c r="G523" s="26"/>
    </row>
    <row r="524">
      <c r="G524" s="26"/>
    </row>
    <row r="525">
      <c r="G525" s="26"/>
    </row>
    <row r="526">
      <c r="G526" s="26"/>
    </row>
    <row r="527">
      <c r="G527" s="26"/>
    </row>
    <row r="528">
      <c r="G528" s="26"/>
    </row>
    <row r="529">
      <c r="G529" s="26"/>
    </row>
    <row r="530">
      <c r="G530" s="26"/>
    </row>
    <row r="531">
      <c r="G531" s="26"/>
    </row>
    <row r="532">
      <c r="G532" s="26"/>
    </row>
    <row r="533">
      <c r="G533" s="26"/>
    </row>
    <row r="534">
      <c r="G534" s="26"/>
    </row>
    <row r="535">
      <c r="G535" s="26"/>
    </row>
    <row r="536">
      <c r="G536" s="26"/>
    </row>
    <row r="537">
      <c r="G537" s="26"/>
    </row>
    <row r="538">
      <c r="G538" s="26"/>
    </row>
    <row r="539">
      <c r="G539" s="26"/>
    </row>
    <row r="540">
      <c r="G540" s="26"/>
    </row>
    <row r="541">
      <c r="G541" s="26"/>
    </row>
    <row r="542">
      <c r="G542" s="26"/>
    </row>
    <row r="543">
      <c r="G543" s="26"/>
    </row>
    <row r="544">
      <c r="G544" s="26"/>
    </row>
    <row r="545">
      <c r="G545" s="26"/>
    </row>
    <row r="546">
      <c r="G546" s="26"/>
    </row>
    <row r="547">
      <c r="G547" s="26"/>
    </row>
    <row r="548">
      <c r="G548" s="26"/>
    </row>
    <row r="549">
      <c r="G549" s="26"/>
    </row>
    <row r="550">
      <c r="G550" s="26"/>
    </row>
    <row r="551">
      <c r="G551" s="26"/>
    </row>
    <row r="552">
      <c r="G552" s="26"/>
    </row>
    <row r="553">
      <c r="G553" s="26"/>
    </row>
    <row r="554">
      <c r="G554" s="26"/>
    </row>
    <row r="555">
      <c r="G555" s="26"/>
    </row>
    <row r="556">
      <c r="G556" s="26"/>
    </row>
    <row r="557">
      <c r="G557" s="26"/>
    </row>
    <row r="558">
      <c r="G558" s="26"/>
    </row>
    <row r="559">
      <c r="G559" s="26"/>
    </row>
    <row r="560">
      <c r="G560" s="26"/>
    </row>
    <row r="561">
      <c r="G561" s="26"/>
    </row>
    <row r="562">
      <c r="G562" s="26"/>
    </row>
    <row r="563">
      <c r="G563" s="26"/>
    </row>
    <row r="564">
      <c r="G564" s="26"/>
    </row>
    <row r="565">
      <c r="G565" s="26"/>
    </row>
    <row r="566">
      <c r="G566" s="26"/>
    </row>
    <row r="567">
      <c r="G567" s="26"/>
    </row>
    <row r="568">
      <c r="G568" s="26"/>
    </row>
    <row r="569">
      <c r="G569" s="26"/>
    </row>
    <row r="570">
      <c r="G570" s="26"/>
    </row>
    <row r="571">
      <c r="G571" s="26"/>
    </row>
    <row r="572">
      <c r="G572" s="26"/>
    </row>
    <row r="573">
      <c r="G573" s="26"/>
    </row>
    <row r="574">
      <c r="G574" s="26"/>
    </row>
    <row r="575">
      <c r="G575" s="26"/>
    </row>
    <row r="576">
      <c r="G576" s="26"/>
    </row>
    <row r="577">
      <c r="G577" s="26"/>
    </row>
    <row r="578">
      <c r="G578" s="26"/>
    </row>
    <row r="579">
      <c r="G579" s="26"/>
    </row>
    <row r="580">
      <c r="G580" s="26"/>
    </row>
    <row r="581">
      <c r="G581" s="26"/>
    </row>
    <row r="582">
      <c r="G582" s="26"/>
    </row>
    <row r="583">
      <c r="G583" s="26"/>
    </row>
    <row r="584">
      <c r="G584" s="26"/>
    </row>
    <row r="585">
      <c r="G585" s="26"/>
    </row>
    <row r="586">
      <c r="G586" s="26"/>
    </row>
    <row r="587">
      <c r="G587" s="26"/>
    </row>
    <row r="588">
      <c r="G588" s="26"/>
    </row>
    <row r="589">
      <c r="G589" s="26"/>
    </row>
    <row r="590">
      <c r="G590" s="26"/>
    </row>
    <row r="591">
      <c r="G591" s="26"/>
    </row>
    <row r="592">
      <c r="G592" s="26"/>
    </row>
    <row r="593">
      <c r="G593" s="26"/>
    </row>
    <row r="594">
      <c r="G594" s="26"/>
    </row>
    <row r="595">
      <c r="G595" s="26"/>
    </row>
    <row r="596">
      <c r="G596" s="26"/>
    </row>
    <row r="597">
      <c r="G597" s="26"/>
    </row>
    <row r="598">
      <c r="G598" s="26"/>
    </row>
    <row r="599">
      <c r="G599" s="26"/>
    </row>
    <row r="600">
      <c r="G600" s="26"/>
    </row>
    <row r="601">
      <c r="G601" s="26"/>
    </row>
    <row r="602">
      <c r="G602" s="26"/>
    </row>
    <row r="603">
      <c r="G603" s="26"/>
    </row>
    <row r="604">
      <c r="G604" s="26"/>
    </row>
    <row r="605">
      <c r="G605" s="26"/>
    </row>
    <row r="606">
      <c r="G606" s="26"/>
    </row>
    <row r="607">
      <c r="G607" s="26"/>
    </row>
    <row r="608">
      <c r="G608" s="26"/>
    </row>
    <row r="609">
      <c r="G609" s="26"/>
    </row>
    <row r="610">
      <c r="G610" s="26"/>
    </row>
    <row r="611">
      <c r="G611" s="26"/>
    </row>
    <row r="612">
      <c r="G612" s="26"/>
    </row>
    <row r="613">
      <c r="G613" s="26"/>
    </row>
    <row r="614">
      <c r="G614" s="26"/>
    </row>
    <row r="615">
      <c r="G615" s="26"/>
    </row>
    <row r="616">
      <c r="G616" s="26"/>
    </row>
    <row r="617">
      <c r="G617" s="26"/>
    </row>
    <row r="618">
      <c r="G618" s="26"/>
    </row>
    <row r="619">
      <c r="G619" s="26"/>
    </row>
    <row r="620">
      <c r="G620" s="26"/>
    </row>
    <row r="621">
      <c r="G621" s="26"/>
    </row>
    <row r="622">
      <c r="G622" s="26"/>
    </row>
    <row r="623">
      <c r="G623" s="26"/>
    </row>
    <row r="624">
      <c r="G624" s="26"/>
    </row>
    <row r="625">
      <c r="G625" s="26"/>
    </row>
    <row r="626">
      <c r="G626" s="26"/>
    </row>
    <row r="627">
      <c r="G627" s="26"/>
    </row>
    <row r="628">
      <c r="G628" s="26"/>
    </row>
    <row r="629">
      <c r="G629" s="26"/>
    </row>
    <row r="630">
      <c r="G630" s="26"/>
    </row>
    <row r="631">
      <c r="G631" s="26"/>
    </row>
    <row r="632">
      <c r="G632" s="26"/>
    </row>
    <row r="633">
      <c r="G633" s="26"/>
    </row>
    <row r="634">
      <c r="G634" s="26"/>
    </row>
    <row r="635">
      <c r="G635" s="26"/>
    </row>
    <row r="636">
      <c r="G636" s="26"/>
    </row>
    <row r="637">
      <c r="G637" s="26"/>
    </row>
    <row r="638">
      <c r="G638" s="26"/>
    </row>
    <row r="639">
      <c r="G639" s="26"/>
    </row>
    <row r="640">
      <c r="G640" s="26"/>
    </row>
    <row r="641">
      <c r="G641" s="26"/>
    </row>
    <row r="642">
      <c r="G642" s="26"/>
    </row>
    <row r="643">
      <c r="G643" s="26"/>
    </row>
    <row r="644">
      <c r="G644" s="26"/>
    </row>
    <row r="645">
      <c r="G645" s="26"/>
    </row>
    <row r="646">
      <c r="G646" s="26"/>
    </row>
    <row r="647">
      <c r="G647" s="26"/>
    </row>
    <row r="648">
      <c r="G648" s="26"/>
    </row>
    <row r="649">
      <c r="G649" s="26"/>
    </row>
    <row r="650">
      <c r="G650" s="26"/>
    </row>
    <row r="651">
      <c r="G651" s="26"/>
    </row>
    <row r="652">
      <c r="G652" s="26"/>
    </row>
    <row r="653">
      <c r="G653" s="26"/>
    </row>
    <row r="654">
      <c r="G654" s="26"/>
    </row>
    <row r="655">
      <c r="G655" s="26"/>
    </row>
    <row r="656">
      <c r="G656" s="26"/>
    </row>
    <row r="657">
      <c r="G657" s="26"/>
    </row>
    <row r="658">
      <c r="G658" s="26"/>
    </row>
    <row r="659">
      <c r="G659" s="26"/>
    </row>
    <row r="660">
      <c r="G660" s="26"/>
    </row>
    <row r="661">
      <c r="G661" s="26"/>
    </row>
    <row r="662">
      <c r="G662" s="26"/>
    </row>
    <row r="663">
      <c r="G663" s="26"/>
    </row>
    <row r="664">
      <c r="G664" s="26"/>
    </row>
    <row r="665">
      <c r="G665" s="26"/>
    </row>
    <row r="666">
      <c r="G666" s="26"/>
    </row>
    <row r="667">
      <c r="G667" s="26"/>
    </row>
    <row r="668">
      <c r="G668" s="26"/>
    </row>
    <row r="669">
      <c r="G669" s="26"/>
    </row>
    <row r="670">
      <c r="G670" s="26"/>
    </row>
    <row r="671">
      <c r="G671" s="26"/>
    </row>
    <row r="672">
      <c r="G672" s="26"/>
    </row>
    <row r="673">
      <c r="G673" s="26"/>
    </row>
    <row r="674">
      <c r="G674" s="26"/>
    </row>
    <row r="675">
      <c r="G675" s="26"/>
    </row>
    <row r="676">
      <c r="G676" s="26"/>
    </row>
    <row r="677">
      <c r="G677" s="26"/>
    </row>
    <row r="678">
      <c r="G678" s="26"/>
    </row>
    <row r="679">
      <c r="G679" s="26"/>
    </row>
    <row r="680">
      <c r="G680" s="26"/>
    </row>
    <row r="681">
      <c r="G681" s="26"/>
    </row>
    <row r="682">
      <c r="G682" s="26"/>
    </row>
    <row r="683">
      <c r="G683" s="26"/>
    </row>
    <row r="684">
      <c r="G684" s="26"/>
    </row>
    <row r="685">
      <c r="G685" s="26"/>
    </row>
    <row r="686">
      <c r="G686" s="26"/>
    </row>
    <row r="687">
      <c r="G687" s="26"/>
    </row>
    <row r="688">
      <c r="G688" s="26"/>
    </row>
    <row r="689">
      <c r="G689" s="26"/>
    </row>
    <row r="690">
      <c r="G690" s="26"/>
    </row>
    <row r="691">
      <c r="G691" s="26"/>
    </row>
    <row r="692">
      <c r="G692" s="26"/>
    </row>
    <row r="693">
      <c r="G693" s="26"/>
    </row>
    <row r="694">
      <c r="G694" s="26"/>
    </row>
    <row r="695">
      <c r="G695" s="26"/>
    </row>
    <row r="696">
      <c r="G696" s="26"/>
    </row>
    <row r="697">
      <c r="G697" s="26"/>
    </row>
    <row r="698">
      <c r="G698" s="26"/>
    </row>
    <row r="699">
      <c r="G699" s="26"/>
    </row>
    <row r="700">
      <c r="G700" s="26"/>
    </row>
    <row r="701">
      <c r="G701" s="26"/>
    </row>
    <row r="702">
      <c r="G702" s="26"/>
    </row>
    <row r="703">
      <c r="G703" s="26"/>
    </row>
    <row r="704">
      <c r="G704" s="26"/>
    </row>
    <row r="705">
      <c r="G705" s="26"/>
    </row>
    <row r="706">
      <c r="G706" s="26"/>
    </row>
    <row r="707">
      <c r="G707" s="26"/>
    </row>
    <row r="708">
      <c r="G708" s="26"/>
    </row>
    <row r="709">
      <c r="G709" s="26"/>
    </row>
    <row r="710">
      <c r="G710" s="26"/>
    </row>
    <row r="711">
      <c r="G711" s="26"/>
    </row>
    <row r="712">
      <c r="G712" s="26"/>
    </row>
    <row r="713">
      <c r="G713" s="26"/>
    </row>
    <row r="714">
      <c r="G714" s="26"/>
    </row>
    <row r="715">
      <c r="G715" s="26"/>
    </row>
    <row r="716">
      <c r="G716" s="26"/>
    </row>
    <row r="717">
      <c r="G717" s="26"/>
    </row>
    <row r="718">
      <c r="G718" s="26"/>
    </row>
    <row r="719">
      <c r="G719" s="26"/>
    </row>
    <row r="720">
      <c r="G720" s="26"/>
    </row>
    <row r="721">
      <c r="G721" s="26"/>
    </row>
    <row r="722">
      <c r="G722" s="26"/>
    </row>
    <row r="723">
      <c r="G723" s="26"/>
    </row>
    <row r="724">
      <c r="G724" s="26"/>
    </row>
    <row r="725">
      <c r="G725" s="26"/>
    </row>
    <row r="726">
      <c r="G726" s="26"/>
    </row>
    <row r="727">
      <c r="G727" s="26"/>
    </row>
    <row r="728">
      <c r="G728" s="26"/>
    </row>
    <row r="729">
      <c r="G729" s="26"/>
    </row>
    <row r="730">
      <c r="G730" s="26"/>
    </row>
    <row r="731">
      <c r="G731" s="26"/>
    </row>
    <row r="732">
      <c r="G732" s="26"/>
    </row>
    <row r="733">
      <c r="G733" s="26"/>
    </row>
    <row r="734">
      <c r="G734" s="26"/>
    </row>
    <row r="735">
      <c r="G735" s="26"/>
    </row>
    <row r="736">
      <c r="G736" s="26"/>
    </row>
    <row r="737">
      <c r="G737" s="26"/>
    </row>
    <row r="738">
      <c r="G738" s="26"/>
    </row>
    <row r="739">
      <c r="G739" s="26"/>
    </row>
    <row r="740">
      <c r="G740" s="26"/>
    </row>
    <row r="741">
      <c r="G741" s="26"/>
    </row>
    <row r="742">
      <c r="G742" s="26"/>
    </row>
    <row r="743">
      <c r="G743" s="26"/>
    </row>
    <row r="744">
      <c r="G744" s="26"/>
    </row>
    <row r="745">
      <c r="G745" s="26"/>
    </row>
    <row r="746">
      <c r="G746" s="26"/>
    </row>
    <row r="747">
      <c r="G747" s="26"/>
    </row>
    <row r="748">
      <c r="G748" s="26"/>
    </row>
    <row r="749">
      <c r="G749" s="26"/>
    </row>
    <row r="750">
      <c r="G750" s="26"/>
    </row>
    <row r="751">
      <c r="G751" s="26"/>
    </row>
    <row r="752">
      <c r="G752" s="26"/>
    </row>
    <row r="753">
      <c r="G753" s="26"/>
    </row>
    <row r="754">
      <c r="G754" s="26"/>
    </row>
    <row r="755">
      <c r="G755" s="26"/>
    </row>
    <row r="756">
      <c r="G756" s="26"/>
    </row>
    <row r="757">
      <c r="G757" s="26"/>
    </row>
    <row r="758">
      <c r="G758" s="26"/>
    </row>
    <row r="759">
      <c r="G759" s="26"/>
    </row>
    <row r="760">
      <c r="G760" s="26"/>
    </row>
    <row r="761">
      <c r="G761" s="26"/>
    </row>
    <row r="762">
      <c r="G762" s="26"/>
    </row>
    <row r="763">
      <c r="G763" s="26"/>
    </row>
    <row r="764">
      <c r="G764" s="26"/>
    </row>
    <row r="765">
      <c r="G765" s="26"/>
    </row>
    <row r="766">
      <c r="G766" s="26"/>
    </row>
    <row r="767">
      <c r="G767" s="26"/>
    </row>
    <row r="768">
      <c r="G768" s="26"/>
    </row>
    <row r="769">
      <c r="G769" s="26"/>
    </row>
    <row r="770">
      <c r="G770" s="26"/>
    </row>
    <row r="771">
      <c r="G771" s="26"/>
    </row>
    <row r="772">
      <c r="G772" s="26"/>
    </row>
    <row r="773">
      <c r="G773" s="26"/>
    </row>
    <row r="774">
      <c r="G774" s="26"/>
    </row>
    <row r="775">
      <c r="G775" s="26"/>
    </row>
    <row r="776">
      <c r="G776" s="26"/>
    </row>
    <row r="777">
      <c r="G777" s="26"/>
    </row>
    <row r="778">
      <c r="G778" s="26"/>
    </row>
    <row r="779">
      <c r="G779" s="26"/>
    </row>
    <row r="780">
      <c r="G780" s="26"/>
    </row>
    <row r="781">
      <c r="G781" s="26"/>
    </row>
    <row r="782">
      <c r="G782" s="26"/>
    </row>
    <row r="783">
      <c r="G783" s="26"/>
    </row>
    <row r="784">
      <c r="G784" s="26"/>
    </row>
    <row r="785">
      <c r="G785" s="26"/>
    </row>
    <row r="786">
      <c r="G786" s="26"/>
    </row>
    <row r="787">
      <c r="G787" s="26"/>
    </row>
    <row r="788">
      <c r="G788" s="26"/>
    </row>
    <row r="789">
      <c r="G789" s="26"/>
    </row>
    <row r="790">
      <c r="G790" s="26"/>
    </row>
    <row r="791">
      <c r="G791" s="26"/>
    </row>
    <row r="792">
      <c r="G792" s="26"/>
    </row>
    <row r="793">
      <c r="G793" s="26"/>
    </row>
    <row r="794">
      <c r="G794" s="26"/>
    </row>
    <row r="795">
      <c r="G795" s="26"/>
    </row>
    <row r="796">
      <c r="G796" s="26"/>
    </row>
    <row r="797">
      <c r="G797" s="26"/>
    </row>
    <row r="798">
      <c r="G798" s="26"/>
    </row>
    <row r="799">
      <c r="G799" s="26"/>
    </row>
    <row r="800">
      <c r="G800" s="26"/>
    </row>
    <row r="801">
      <c r="G801" s="26"/>
    </row>
    <row r="802">
      <c r="G802" s="26"/>
    </row>
    <row r="803">
      <c r="G803" s="26"/>
    </row>
    <row r="804">
      <c r="G804" s="26"/>
    </row>
    <row r="805">
      <c r="G805" s="26"/>
    </row>
    <row r="806">
      <c r="G806" s="26"/>
    </row>
    <row r="807">
      <c r="G807" s="26"/>
    </row>
    <row r="808">
      <c r="G808" s="26"/>
    </row>
    <row r="809">
      <c r="G809" s="26"/>
    </row>
    <row r="810">
      <c r="G810" s="26"/>
    </row>
    <row r="811">
      <c r="G811" s="26"/>
    </row>
    <row r="812">
      <c r="G812" s="26"/>
    </row>
    <row r="813">
      <c r="G813" s="26"/>
    </row>
    <row r="814">
      <c r="G814" s="26"/>
    </row>
    <row r="815">
      <c r="G815" s="26"/>
    </row>
    <row r="816">
      <c r="G816" s="26"/>
    </row>
    <row r="817">
      <c r="G817" s="26"/>
    </row>
    <row r="818">
      <c r="G818" s="26"/>
    </row>
    <row r="819">
      <c r="G819" s="26"/>
    </row>
    <row r="820">
      <c r="G820" s="26"/>
    </row>
    <row r="821">
      <c r="G821" s="26"/>
    </row>
    <row r="822">
      <c r="G822" s="26"/>
    </row>
    <row r="823">
      <c r="G823" s="26"/>
    </row>
    <row r="824">
      <c r="G824" s="26"/>
    </row>
    <row r="825">
      <c r="G825" s="26"/>
    </row>
    <row r="826">
      <c r="G826" s="26"/>
    </row>
    <row r="827">
      <c r="G827" s="26"/>
    </row>
    <row r="828">
      <c r="G828" s="26"/>
    </row>
    <row r="829">
      <c r="G829" s="26"/>
    </row>
    <row r="830">
      <c r="G830" s="26"/>
    </row>
    <row r="831">
      <c r="G831" s="26"/>
    </row>
    <row r="832">
      <c r="G832" s="26"/>
    </row>
    <row r="833">
      <c r="G833" s="26"/>
    </row>
    <row r="834">
      <c r="G834" s="26"/>
    </row>
    <row r="835">
      <c r="G835" s="26"/>
    </row>
    <row r="836">
      <c r="G836" s="26"/>
    </row>
    <row r="837">
      <c r="G837" s="26"/>
    </row>
    <row r="838">
      <c r="G838" s="26"/>
    </row>
    <row r="839">
      <c r="G839" s="26"/>
    </row>
  </sheetData>
  <drawing r:id="rId1"/>
</worksheet>
</file>