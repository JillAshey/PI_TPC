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<sst xmlns="http://schemas.openxmlformats.org/spreadsheetml/2006/main" count="161" uniqueCount="31">
  <si>
    <t>Date</t>
  </si>
  <si>
    <t>Project</t>
  </si>
  <si>
    <t>Colony ID</t>
  </si>
  <si>
    <t>Run #</t>
  </si>
  <si>
    <t>Chamber well #</t>
  </si>
  <si>
    <t>Light zub #</t>
  </si>
  <si>
    <t>Time start (light)</t>
  </si>
  <si>
    <t>Time end (light)</t>
  </si>
  <si>
    <t>Total duration light (H:MM)</t>
  </si>
  <si>
    <t>Time start (dark)</t>
  </si>
  <si>
    <t>Time end (dark)</t>
  </si>
  <si>
    <t>Total duration dark (H:MM)</t>
  </si>
  <si>
    <t>Dark zub #</t>
  </si>
  <si>
    <t>Temp degC (light)</t>
  </si>
  <si>
    <t>Temp degC (dark)</t>
  </si>
  <si>
    <t>CAREER</t>
  </si>
  <si>
    <t>Light t0</t>
  </si>
  <si>
    <t>NA</t>
  </si>
  <si>
    <t>blank</t>
  </si>
  <si>
    <t>Dark t0</t>
  </si>
  <si>
    <t>&lt;end of light</t>
  </si>
  <si>
    <t>limu morn</t>
  </si>
  <si>
    <t>6 morn</t>
  </si>
  <si>
    <t>3 morn</t>
  </si>
  <si>
    <t>5 aft</t>
  </si>
  <si>
    <t>8 morn</t>
  </si>
  <si>
    <t>5 morn</t>
  </si>
  <si>
    <t>4 aft</t>
  </si>
  <si>
    <t>10 morn</t>
  </si>
  <si>
    <t>8 aft</t>
  </si>
  <si>
    <t>1 aft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</si>
</sst>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46" xfId="0" applyAlignment="1" applyFont="1" applyNumberFormat="1">
      <alignment shrinkToFit="0" vertical="bottom" wrapText="1"/>
    </xf>
    <xf borderId="0" fillId="0" fontId="1" numFmtId="1" xfId="0" applyAlignment="1" applyFont="1" applyNumberFormat="1">
      <alignment shrinkToFit="0" vertical="bottom" wrapText="1"/>
    </xf>
    <xf borderId="0" fillId="0" fontId="1" numFmtId="2" xfId="0" applyAlignment="1" applyFont="1" applyNumberFormat="1">
      <alignment readingOrder="0" shrinkToFit="0" vertical="bottom" wrapText="1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0" fontId="1" numFmtId="46" xfId="0" applyAlignment="1" applyFont="1" applyNumberFormat="1">
      <alignment vertical="bottom"/>
    </xf>
    <xf borderId="0" fillId="0" fontId="1" numFmtId="1" xfId="0" applyAlignment="1" applyFont="1" applyNumberFormat="1">
      <alignment horizontal="right" readingOrder="0" vertical="bottom"/>
    </xf>
    <xf borderId="0" fillId="0" fontId="1" numFmtId="2" xfId="0" applyAlignment="1" applyFont="1" applyNumberFormat="1">
      <alignment horizontal="right" readingOrder="0" vertical="bottom"/>
    </xf>
    <xf borderId="0" fillId="0" fontId="1" numFmtId="20" xfId="0" applyAlignment="1" applyFont="1" applyNumberFormat="1">
      <alignment horizontal="right" readingOrder="0" vertical="bottom"/>
    </xf>
    <xf borderId="0" fillId="0" fontId="1" numFmtId="46" xfId="0" applyAlignment="1" applyFont="1" applyNumberFormat="1">
      <alignment horizontal="right" vertical="bottom"/>
    </xf>
    <xf borderId="0" fillId="0" fontId="1" numFmtId="2" xfId="0" applyAlignment="1" applyFont="1" applyNumberFormat="1">
      <alignment horizontal="right" vertical="bottom"/>
    </xf>
    <xf borderId="0" fillId="0" fontId="1" numFmtId="20" xfId="0" applyAlignment="1" applyFont="1" applyNumberFormat="1">
      <alignment readingOrder="0" vertical="bottom"/>
    </xf>
    <xf borderId="1" fillId="0" fontId="1" numFmtId="164" xfId="0" applyAlignment="1" applyBorder="1" applyFont="1" applyNumberFormat="1">
      <alignment horizontal="right" readingOrder="0" vertical="bottom"/>
    </xf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right" vertical="bottom"/>
    </xf>
    <xf borderId="1" fillId="0" fontId="1" numFmtId="0" xfId="0" applyAlignment="1" applyBorder="1" applyFont="1">
      <alignment horizontal="right" readingOrder="0" vertical="bottom"/>
    </xf>
    <xf borderId="1" fillId="0" fontId="1" numFmtId="46" xfId="0" applyAlignment="1" applyBorder="1" applyFont="1" applyNumberFormat="1">
      <alignment vertical="bottom"/>
    </xf>
    <xf borderId="1" fillId="0" fontId="1" numFmtId="1" xfId="0" applyAlignment="1" applyBorder="1" applyFont="1" applyNumberFormat="1">
      <alignment vertical="bottom"/>
    </xf>
    <xf borderId="1" fillId="0" fontId="3" numFmtId="0" xfId="0" applyBorder="1" applyFont="1"/>
    <xf borderId="0" fillId="0" fontId="3" numFmtId="0" xfId="0" applyAlignment="1" applyFont="1">
      <alignment readingOrder="0"/>
    </xf>
    <xf borderId="0" fillId="0" fontId="3" numFmtId="20" xfId="0" applyAlignment="1" applyFont="1" applyNumberFormat="1">
      <alignment readingOrder="0"/>
    </xf>
    <xf borderId="1" fillId="0" fontId="3" numFmtId="0" xfId="0" applyAlignment="1" applyBorder="1" applyFont="1">
      <alignment readingOrder="0"/>
    </xf>
    <xf borderId="0" fillId="2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10.38"/>
    <col customWidth="1" min="3" max="3" width="9.75"/>
    <col customWidth="1" min="4" max="4" width="7.13"/>
    <col customWidth="1" min="5" max="5" width="8.88"/>
    <col customWidth="1" min="6" max="6" width="8.0"/>
    <col customWidth="1" min="7" max="7" width="10.0"/>
    <col customWidth="1" min="8" max="8" width="10.63"/>
    <col customWidth="1" min="11" max="11" width="10.0"/>
    <col customWidth="1" min="13" max="13" width="8.38"/>
    <col customWidth="1" min="14" max="14" width="10.75"/>
    <col customWidth="1" min="15" max="15" width="1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3" t="s">
        <v>12</v>
      </c>
      <c r="N1" s="4" t="s">
        <v>13</v>
      </c>
      <c r="O1" s="4" t="s">
        <v>14</v>
      </c>
    </row>
    <row r="2">
      <c r="A2" s="5">
        <v>45422.0</v>
      </c>
      <c r="B2" s="6" t="s">
        <v>15</v>
      </c>
      <c r="C2" s="7" t="s">
        <v>16</v>
      </c>
      <c r="D2" s="8">
        <v>1.0</v>
      </c>
      <c r="E2" s="7" t="s">
        <v>17</v>
      </c>
      <c r="F2" s="9">
        <v>1.0</v>
      </c>
      <c r="G2" s="9" t="s">
        <v>17</v>
      </c>
      <c r="H2" s="7" t="s">
        <v>17</v>
      </c>
      <c r="I2" s="10" t="s">
        <v>17</v>
      </c>
      <c r="J2" s="7" t="s">
        <v>17</v>
      </c>
      <c r="K2" s="7" t="s">
        <v>17</v>
      </c>
      <c r="L2" s="10" t="s">
        <v>17</v>
      </c>
      <c r="M2" s="11" t="s">
        <v>17</v>
      </c>
      <c r="N2" s="12">
        <v>24.7</v>
      </c>
      <c r="O2" s="12">
        <v>24.7</v>
      </c>
    </row>
    <row r="3">
      <c r="A3" s="5">
        <v>45422.0</v>
      </c>
      <c r="B3" s="6" t="s">
        <v>15</v>
      </c>
      <c r="C3" s="6">
        <v>209.0</v>
      </c>
      <c r="D3" s="8">
        <v>1.0</v>
      </c>
      <c r="E3" s="8">
        <v>1.0</v>
      </c>
      <c r="F3" s="9">
        <v>2.0</v>
      </c>
      <c r="G3" s="13">
        <v>0.44722222222222224</v>
      </c>
      <c r="H3" s="13">
        <v>0.49166666666666664</v>
      </c>
      <c r="I3" s="14">
        <f t="shared" ref="I3:I14" si="1">H3-G3</f>
        <v>0.04444444444</v>
      </c>
      <c r="J3" s="13">
        <v>0.5013888888888889</v>
      </c>
      <c r="K3" s="13">
        <v>0.5243055555555556</v>
      </c>
      <c r="L3" s="14">
        <f t="shared" ref="L3:L14" si="2">K3-J3</f>
        <v>0.02291666667</v>
      </c>
      <c r="M3" s="11">
        <v>15.0</v>
      </c>
      <c r="N3" s="15"/>
    </row>
    <row r="4">
      <c r="A4" s="5">
        <v>45422.0</v>
      </c>
      <c r="B4" s="6" t="s">
        <v>15</v>
      </c>
      <c r="C4" s="6">
        <v>4.0</v>
      </c>
      <c r="D4" s="8">
        <v>1.0</v>
      </c>
      <c r="E4" s="8">
        <v>2.0</v>
      </c>
      <c r="F4" s="9">
        <v>3.0</v>
      </c>
      <c r="G4" s="13">
        <v>0.44722222222222224</v>
      </c>
      <c r="H4" s="13">
        <v>0.49166666666666664</v>
      </c>
      <c r="I4" s="14">
        <f t="shared" si="1"/>
        <v>0.04444444444</v>
      </c>
      <c r="J4" s="13">
        <v>0.5013888888888889</v>
      </c>
      <c r="K4" s="13">
        <v>0.5243055555555556</v>
      </c>
      <c r="L4" s="14">
        <f t="shared" si="2"/>
        <v>0.02291666667</v>
      </c>
      <c r="M4" s="11">
        <v>16.0</v>
      </c>
      <c r="N4" s="15"/>
    </row>
    <row r="5">
      <c r="A5" s="5">
        <v>45422.0</v>
      </c>
      <c r="B5" s="6" t="s">
        <v>15</v>
      </c>
      <c r="C5" s="6">
        <v>244.0</v>
      </c>
      <c r="D5" s="8">
        <v>1.0</v>
      </c>
      <c r="E5" s="8">
        <v>3.0</v>
      </c>
      <c r="F5" s="9">
        <v>4.0</v>
      </c>
      <c r="G5" s="13">
        <v>0.44722222222222224</v>
      </c>
      <c r="H5" s="13">
        <v>0.49236111111111114</v>
      </c>
      <c r="I5" s="14">
        <f t="shared" si="1"/>
        <v>0.04513888889</v>
      </c>
      <c r="J5" s="13">
        <v>0.5013888888888889</v>
      </c>
      <c r="K5" s="13">
        <v>0.5243055555555556</v>
      </c>
      <c r="L5" s="14">
        <f t="shared" si="2"/>
        <v>0.02291666667</v>
      </c>
      <c r="M5" s="11">
        <v>17.0</v>
      </c>
      <c r="N5" s="15"/>
    </row>
    <row r="6">
      <c r="A6" s="5">
        <v>45422.0</v>
      </c>
      <c r="B6" s="6" t="s">
        <v>15</v>
      </c>
      <c r="C6" s="6">
        <v>211.0</v>
      </c>
      <c r="D6" s="8">
        <v>1.0</v>
      </c>
      <c r="E6" s="8">
        <v>4.0</v>
      </c>
      <c r="F6" s="9">
        <v>5.0</v>
      </c>
      <c r="G6" s="13">
        <v>0.44722222222222224</v>
      </c>
      <c r="H6" s="13">
        <v>0.4930555555555556</v>
      </c>
      <c r="I6" s="14">
        <f t="shared" si="1"/>
        <v>0.04583333333</v>
      </c>
      <c r="J6" s="13">
        <v>0.5013888888888889</v>
      </c>
      <c r="K6" s="13">
        <v>0.5243055555555556</v>
      </c>
      <c r="L6" s="14">
        <f t="shared" si="2"/>
        <v>0.02291666667</v>
      </c>
      <c r="M6" s="11">
        <v>18.0</v>
      </c>
      <c r="N6" s="15"/>
    </row>
    <row r="7">
      <c r="A7" s="5">
        <v>45422.0</v>
      </c>
      <c r="B7" s="6" t="s">
        <v>15</v>
      </c>
      <c r="C7" s="6">
        <v>243.0</v>
      </c>
      <c r="D7" s="8">
        <v>1.0</v>
      </c>
      <c r="E7" s="8">
        <v>5.0</v>
      </c>
      <c r="F7" s="9">
        <v>6.0</v>
      </c>
      <c r="G7" s="13">
        <v>0.4479166666666667</v>
      </c>
      <c r="H7" s="13">
        <v>0.49375</v>
      </c>
      <c r="I7" s="14">
        <f t="shared" si="1"/>
        <v>0.04583333333</v>
      </c>
      <c r="J7" s="13">
        <v>0.5020833333333333</v>
      </c>
      <c r="K7" s="13">
        <v>0.525</v>
      </c>
      <c r="L7" s="14">
        <f t="shared" si="2"/>
        <v>0.02291666667</v>
      </c>
      <c r="M7" s="11">
        <v>19.0</v>
      </c>
      <c r="N7" s="15"/>
    </row>
    <row r="8">
      <c r="A8" s="5">
        <v>45422.0</v>
      </c>
      <c r="B8" s="6" t="s">
        <v>15</v>
      </c>
      <c r="C8" s="6" t="s">
        <v>18</v>
      </c>
      <c r="D8" s="8">
        <v>1.0</v>
      </c>
      <c r="E8" s="8">
        <v>6.0</v>
      </c>
      <c r="F8" s="9">
        <v>7.0</v>
      </c>
      <c r="G8" s="13">
        <v>0.4479166666666667</v>
      </c>
      <c r="H8" s="13">
        <v>0.49444444444444446</v>
      </c>
      <c r="I8" s="14">
        <f t="shared" si="1"/>
        <v>0.04652777778</v>
      </c>
      <c r="J8" s="13">
        <v>0.5020833333333333</v>
      </c>
      <c r="K8" s="13">
        <v>0.525</v>
      </c>
      <c r="L8" s="14">
        <f t="shared" si="2"/>
        <v>0.02291666667</v>
      </c>
      <c r="M8" s="11">
        <v>20.0</v>
      </c>
      <c r="N8" s="15"/>
    </row>
    <row r="9">
      <c r="A9" s="5">
        <v>45422.0</v>
      </c>
      <c r="B9" s="6" t="s">
        <v>15</v>
      </c>
      <c r="C9" s="6">
        <v>2.0</v>
      </c>
      <c r="D9" s="8">
        <v>1.0</v>
      </c>
      <c r="E9" s="8">
        <v>7.0</v>
      </c>
      <c r="F9" s="9">
        <v>8.0</v>
      </c>
      <c r="G9" s="13">
        <v>0.4486111111111111</v>
      </c>
      <c r="H9" s="13">
        <v>0.4951388888888889</v>
      </c>
      <c r="I9" s="14">
        <f t="shared" si="1"/>
        <v>0.04652777778</v>
      </c>
      <c r="J9" s="13">
        <v>0.5020833333333333</v>
      </c>
      <c r="K9" s="13">
        <v>0.525</v>
      </c>
      <c r="L9" s="14">
        <f t="shared" si="2"/>
        <v>0.02291666667</v>
      </c>
      <c r="M9" s="11">
        <v>21.0</v>
      </c>
      <c r="N9" s="15"/>
    </row>
    <row r="10">
      <c r="A10" s="5">
        <v>45422.0</v>
      </c>
      <c r="B10" s="6" t="s">
        <v>15</v>
      </c>
      <c r="C10" s="6">
        <v>225.0</v>
      </c>
      <c r="D10" s="8">
        <v>1.0</v>
      </c>
      <c r="E10" s="8">
        <v>8.0</v>
      </c>
      <c r="F10" s="9">
        <v>9.0</v>
      </c>
      <c r="G10" s="13">
        <v>0.4486111111111111</v>
      </c>
      <c r="H10" s="13">
        <v>0.49583333333333335</v>
      </c>
      <c r="I10" s="14">
        <f t="shared" si="1"/>
        <v>0.04722222222</v>
      </c>
      <c r="J10" s="13">
        <v>0.5020833333333333</v>
      </c>
      <c r="K10" s="13">
        <v>0.525</v>
      </c>
      <c r="L10" s="14">
        <f t="shared" si="2"/>
        <v>0.02291666667</v>
      </c>
      <c r="M10" s="11">
        <v>22.0</v>
      </c>
      <c r="N10" s="15"/>
    </row>
    <row r="11">
      <c r="A11" s="5">
        <v>45422.0</v>
      </c>
      <c r="B11" s="6" t="s">
        <v>15</v>
      </c>
      <c r="C11" s="6">
        <v>1.0</v>
      </c>
      <c r="D11" s="8">
        <v>1.0</v>
      </c>
      <c r="E11" s="8">
        <v>9.0</v>
      </c>
      <c r="F11" s="9">
        <v>10.0</v>
      </c>
      <c r="G11" s="13">
        <v>0.44930555555555557</v>
      </c>
      <c r="H11" s="13">
        <v>0.4965277777777778</v>
      </c>
      <c r="I11" s="14">
        <f t="shared" si="1"/>
        <v>0.04722222222</v>
      </c>
      <c r="J11" s="16">
        <v>0.5027777777777778</v>
      </c>
      <c r="K11" s="13">
        <v>0.5256944444444445</v>
      </c>
      <c r="L11" s="14">
        <f t="shared" si="2"/>
        <v>0.02291666667</v>
      </c>
      <c r="M11" s="11">
        <v>23.0</v>
      </c>
      <c r="N11" s="15"/>
    </row>
    <row r="12">
      <c r="A12" s="5">
        <v>45422.0</v>
      </c>
      <c r="B12" s="6" t="s">
        <v>15</v>
      </c>
      <c r="C12" s="6">
        <v>210.0</v>
      </c>
      <c r="D12" s="8">
        <v>1.0</v>
      </c>
      <c r="E12" s="8">
        <v>10.0</v>
      </c>
      <c r="F12" s="6">
        <v>11.0</v>
      </c>
      <c r="G12" s="13">
        <v>0.44930555555555557</v>
      </c>
      <c r="H12" s="16">
        <v>0.49722222222222223</v>
      </c>
      <c r="I12" s="14">
        <f t="shared" si="1"/>
        <v>0.04791666667</v>
      </c>
      <c r="J12" s="16">
        <v>0.5027777777777778</v>
      </c>
      <c r="K12" s="13">
        <v>0.5256944444444445</v>
      </c>
      <c r="L12" s="14">
        <f t="shared" si="2"/>
        <v>0.02291666667</v>
      </c>
      <c r="M12" s="11">
        <v>24.0</v>
      </c>
      <c r="N12" s="15"/>
    </row>
    <row r="13">
      <c r="A13" s="5">
        <v>45422.0</v>
      </c>
      <c r="B13" s="6" t="s">
        <v>15</v>
      </c>
      <c r="C13" s="6">
        <v>226.0</v>
      </c>
      <c r="D13" s="8">
        <v>1.0</v>
      </c>
      <c r="E13" s="9">
        <v>11.0</v>
      </c>
      <c r="F13" s="6">
        <v>12.0</v>
      </c>
      <c r="G13" s="13">
        <v>0.44930555555555557</v>
      </c>
      <c r="H13" s="16">
        <v>0.4979166666666667</v>
      </c>
      <c r="I13" s="14">
        <f t="shared" si="1"/>
        <v>0.04861111111</v>
      </c>
      <c r="J13" s="16">
        <v>0.5027777777777778</v>
      </c>
      <c r="K13" s="13">
        <v>0.5256944444444445</v>
      </c>
      <c r="L13" s="14">
        <f t="shared" si="2"/>
        <v>0.02291666667</v>
      </c>
      <c r="M13" s="11">
        <v>25.0</v>
      </c>
      <c r="N13" s="7"/>
    </row>
    <row r="14">
      <c r="A14" s="5">
        <v>45422.0</v>
      </c>
      <c r="B14" s="6" t="s">
        <v>15</v>
      </c>
      <c r="C14" s="6">
        <v>3.0</v>
      </c>
      <c r="D14" s="8">
        <v>1.0</v>
      </c>
      <c r="E14" s="9">
        <v>12.0</v>
      </c>
      <c r="F14" s="6">
        <v>13.0</v>
      </c>
      <c r="G14" s="13">
        <v>0.45</v>
      </c>
      <c r="H14" s="16">
        <v>0.4986111111111111</v>
      </c>
      <c r="I14" s="14">
        <f t="shared" si="1"/>
        <v>0.04861111111</v>
      </c>
      <c r="J14" s="16">
        <v>0.5027777777777778</v>
      </c>
      <c r="K14" s="16">
        <v>0.5256944444444445</v>
      </c>
      <c r="L14" s="14">
        <f t="shared" si="2"/>
        <v>0.02291666667</v>
      </c>
      <c r="M14" s="11">
        <v>26.0</v>
      </c>
      <c r="N14" s="7"/>
    </row>
    <row r="15">
      <c r="A15" s="17">
        <v>45422.0</v>
      </c>
      <c r="B15" s="18" t="s">
        <v>15</v>
      </c>
      <c r="C15" s="19" t="s">
        <v>19</v>
      </c>
      <c r="D15" s="20">
        <v>1.0</v>
      </c>
      <c r="E15" s="19" t="s">
        <v>17</v>
      </c>
      <c r="F15" s="21">
        <v>14.0</v>
      </c>
      <c r="G15" s="19" t="s">
        <v>17</v>
      </c>
      <c r="H15" s="19" t="s">
        <v>17</v>
      </c>
      <c r="I15" s="22" t="s">
        <v>17</v>
      </c>
      <c r="J15" s="19" t="s">
        <v>17</v>
      </c>
      <c r="K15" s="19" t="s">
        <v>17</v>
      </c>
      <c r="L15" s="22" t="s">
        <v>17</v>
      </c>
      <c r="M15" s="23" t="s">
        <v>17</v>
      </c>
      <c r="N15" s="19" t="s">
        <v>17</v>
      </c>
      <c r="O15" s="24"/>
      <c r="P15" s="24"/>
      <c r="Q15" s="24"/>
      <c r="R15" s="24"/>
      <c r="S15" s="24"/>
      <c r="T15" s="24"/>
      <c r="U15" s="24"/>
      <c r="V15" s="24"/>
      <c r="W15" s="24"/>
    </row>
    <row r="16">
      <c r="A16" s="5">
        <v>45422.0</v>
      </c>
      <c r="B16" s="6" t="s">
        <v>15</v>
      </c>
      <c r="C16" s="25" t="s">
        <v>16</v>
      </c>
      <c r="D16" s="25">
        <v>2.0</v>
      </c>
      <c r="E16" s="7" t="s">
        <v>17</v>
      </c>
      <c r="F16" s="25">
        <v>27.0</v>
      </c>
      <c r="G16" s="25" t="s">
        <v>17</v>
      </c>
      <c r="H16" s="25" t="s">
        <v>17</v>
      </c>
      <c r="I16" s="25" t="s">
        <v>17</v>
      </c>
      <c r="J16" s="25" t="s">
        <v>17</v>
      </c>
      <c r="K16" s="25" t="s">
        <v>17</v>
      </c>
      <c r="L16" s="25" t="s">
        <v>17</v>
      </c>
      <c r="M16" s="25" t="s">
        <v>17</v>
      </c>
      <c r="N16" s="25">
        <v>24.5</v>
      </c>
      <c r="O16" s="25">
        <v>24.7</v>
      </c>
    </row>
    <row r="17">
      <c r="A17" s="5">
        <v>45422.0</v>
      </c>
      <c r="B17" s="6" t="s">
        <v>15</v>
      </c>
      <c r="C17" s="25">
        <v>206.0</v>
      </c>
      <c r="D17" s="25">
        <v>2.0</v>
      </c>
      <c r="E17" s="8">
        <v>1.0</v>
      </c>
      <c r="F17" s="25">
        <v>28.0</v>
      </c>
      <c r="G17" s="26">
        <v>0.5736111111111111</v>
      </c>
      <c r="H17" s="26">
        <v>0.6173611111111111</v>
      </c>
      <c r="I17" s="14">
        <f t="shared" ref="I17:I28" si="3">H17-G17</f>
        <v>0.04375</v>
      </c>
      <c r="J17" s="26">
        <v>0.625</v>
      </c>
      <c r="K17" s="26">
        <v>0.6479166666666667</v>
      </c>
      <c r="L17" s="14">
        <f t="shared" ref="L17:L28" si="4">K17-J17</f>
        <v>0.02291666667</v>
      </c>
      <c r="M17" s="25">
        <v>42.0</v>
      </c>
    </row>
    <row r="18">
      <c r="A18" s="5">
        <v>45422.0</v>
      </c>
      <c r="B18" s="6" t="s">
        <v>15</v>
      </c>
      <c r="C18" s="25">
        <v>242.0</v>
      </c>
      <c r="D18" s="25">
        <v>2.0</v>
      </c>
      <c r="E18" s="8">
        <v>2.0</v>
      </c>
      <c r="F18" s="25">
        <v>29.0</v>
      </c>
      <c r="G18" s="26">
        <v>0.5736111111111111</v>
      </c>
      <c r="H18" s="26">
        <v>0.6173611111111111</v>
      </c>
      <c r="I18" s="14">
        <f t="shared" si="3"/>
        <v>0.04375</v>
      </c>
      <c r="J18" s="26">
        <v>0.625</v>
      </c>
      <c r="K18" s="26">
        <v>0.6479166666666667</v>
      </c>
      <c r="L18" s="14">
        <f t="shared" si="4"/>
        <v>0.02291666667</v>
      </c>
      <c r="M18" s="25">
        <v>43.0</v>
      </c>
    </row>
    <row r="19">
      <c r="A19" s="5">
        <v>45422.0</v>
      </c>
      <c r="B19" s="6" t="s">
        <v>15</v>
      </c>
      <c r="C19" s="25">
        <v>205.0</v>
      </c>
      <c r="D19" s="25">
        <v>2.0</v>
      </c>
      <c r="E19" s="8">
        <v>3.0</v>
      </c>
      <c r="F19" s="25">
        <v>30.0</v>
      </c>
      <c r="G19" s="26">
        <v>0.5736111111111111</v>
      </c>
      <c r="H19" s="26">
        <v>0.6173611111111111</v>
      </c>
      <c r="I19" s="14">
        <f t="shared" si="3"/>
        <v>0.04375</v>
      </c>
      <c r="J19" s="26">
        <v>0.625</v>
      </c>
      <c r="K19" s="26">
        <v>0.6479166666666667</v>
      </c>
      <c r="L19" s="14">
        <f t="shared" si="4"/>
        <v>0.02291666667</v>
      </c>
      <c r="M19" s="25">
        <v>44.0</v>
      </c>
    </row>
    <row r="20">
      <c r="A20" s="5">
        <v>45422.0</v>
      </c>
      <c r="B20" s="6" t="s">
        <v>15</v>
      </c>
      <c r="C20" s="25">
        <v>12.0</v>
      </c>
      <c r="D20" s="25">
        <v>2.0</v>
      </c>
      <c r="E20" s="8">
        <v>4.0</v>
      </c>
      <c r="F20" s="25">
        <v>31.0</v>
      </c>
      <c r="G20" s="26">
        <v>0.5736111111111111</v>
      </c>
      <c r="H20" s="26">
        <v>0.6173611111111111</v>
      </c>
      <c r="I20" s="14">
        <f t="shared" si="3"/>
        <v>0.04375</v>
      </c>
      <c r="J20" s="26">
        <v>0.625</v>
      </c>
      <c r="K20" s="26">
        <v>0.6479166666666667</v>
      </c>
      <c r="L20" s="14">
        <f t="shared" si="4"/>
        <v>0.02291666667</v>
      </c>
      <c r="M20" s="25">
        <v>45.0</v>
      </c>
    </row>
    <row r="21">
      <c r="A21" s="5">
        <v>45422.0</v>
      </c>
      <c r="B21" s="6" t="s">
        <v>15</v>
      </c>
      <c r="C21" s="25" t="s">
        <v>18</v>
      </c>
      <c r="D21" s="25">
        <v>2.0</v>
      </c>
      <c r="E21" s="8">
        <v>5.0</v>
      </c>
      <c r="F21" s="25">
        <v>32.0</v>
      </c>
      <c r="G21" s="26">
        <v>0.5743055555555555</v>
      </c>
      <c r="H21" s="26">
        <v>0.6173611111111111</v>
      </c>
      <c r="I21" s="14">
        <f t="shared" si="3"/>
        <v>0.04305555556</v>
      </c>
      <c r="J21" s="26">
        <v>0.625</v>
      </c>
      <c r="K21" s="26">
        <v>0.6479166666666667</v>
      </c>
      <c r="L21" s="14">
        <f t="shared" si="4"/>
        <v>0.02291666667</v>
      </c>
      <c r="M21" s="25">
        <v>46.0</v>
      </c>
    </row>
    <row r="22">
      <c r="A22" s="5">
        <v>45422.0</v>
      </c>
      <c r="B22" s="6" t="s">
        <v>15</v>
      </c>
      <c r="C22" s="25">
        <v>241.0</v>
      </c>
      <c r="D22" s="25">
        <v>2.0</v>
      </c>
      <c r="E22" s="8">
        <v>6.0</v>
      </c>
      <c r="F22" s="25">
        <v>34.0</v>
      </c>
      <c r="G22" s="26">
        <v>0.5743055555555555</v>
      </c>
      <c r="H22" s="26">
        <v>0.6180555555555556</v>
      </c>
      <c r="I22" s="14">
        <f t="shared" si="3"/>
        <v>0.04375</v>
      </c>
      <c r="J22" s="26">
        <v>0.6256944444444444</v>
      </c>
      <c r="K22" s="26">
        <v>0.6486111111111111</v>
      </c>
      <c r="L22" s="14">
        <f t="shared" si="4"/>
        <v>0.02291666667</v>
      </c>
      <c r="M22" s="25">
        <v>47.0</v>
      </c>
    </row>
    <row r="23">
      <c r="A23" s="5">
        <v>45422.0</v>
      </c>
      <c r="B23" s="6" t="s">
        <v>15</v>
      </c>
      <c r="C23" s="25">
        <v>43.0</v>
      </c>
      <c r="D23" s="25">
        <v>2.0</v>
      </c>
      <c r="E23" s="8">
        <v>7.0</v>
      </c>
      <c r="F23" s="25">
        <v>35.0</v>
      </c>
      <c r="G23" s="26">
        <v>0.5743055555555555</v>
      </c>
      <c r="H23" s="26">
        <v>0.6180555555555556</v>
      </c>
      <c r="I23" s="14">
        <f t="shared" si="3"/>
        <v>0.04375</v>
      </c>
      <c r="J23" s="26">
        <v>0.6256944444444444</v>
      </c>
      <c r="K23" s="26">
        <v>0.6486111111111111</v>
      </c>
      <c r="L23" s="14">
        <f t="shared" si="4"/>
        <v>0.02291666667</v>
      </c>
      <c r="M23" s="25">
        <v>48.0</v>
      </c>
    </row>
    <row r="24">
      <c r="A24" s="5">
        <v>45422.0</v>
      </c>
      <c r="B24" s="6" t="s">
        <v>15</v>
      </c>
      <c r="C24" s="25">
        <v>239.0</v>
      </c>
      <c r="D24" s="25">
        <v>2.0</v>
      </c>
      <c r="E24" s="8">
        <v>8.0</v>
      </c>
      <c r="F24" s="25">
        <v>36.0</v>
      </c>
      <c r="G24" s="26">
        <v>0.5743055555555555</v>
      </c>
      <c r="H24" s="26">
        <v>0.6180555555555556</v>
      </c>
      <c r="I24" s="14">
        <f t="shared" si="3"/>
        <v>0.04375</v>
      </c>
      <c r="J24" s="26">
        <v>0.6256944444444444</v>
      </c>
      <c r="K24" s="26">
        <v>0.6486111111111111</v>
      </c>
      <c r="L24" s="14">
        <f t="shared" si="4"/>
        <v>0.02291666667</v>
      </c>
      <c r="M24" s="25">
        <v>49.0</v>
      </c>
    </row>
    <row r="25">
      <c r="A25" s="5">
        <v>45422.0</v>
      </c>
      <c r="B25" s="6" t="s">
        <v>15</v>
      </c>
      <c r="C25" s="25">
        <v>20.0</v>
      </c>
      <c r="D25" s="25">
        <v>2.0</v>
      </c>
      <c r="E25" s="8">
        <v>9.0</v>
      </c>
      <c r="F25" s="25">
        <v>37.0</v>
      </c>
      <c r="G25" s="26">
        <v>0.5743055555555555</v>
      </c>
      <c r="H25" s="26">
        <v>0.6180555555555556</v>
      </c>
      <c r="I25" s="14">
        <f t="shared" si="3"/>
        <v>0.04375</v>
      </c>
      <c r="J25" s="26">
        <v>0.6256944444444444</v>
      </c>
      <c r="K25" s="26">
        <v>0.6486111111111111</v>
      </c>
      <c r="L25" s="14">
        <f t="shared" si="4"/>
        <v>0.02291666667</v>
      </c>
      <c r="M25" s="25">
        <v>50.0</v>
      </c>
    </row>
    <row r="26">
      <c r="A26" s="5">
        <v>45422.0</v>
      </c>
      <c r="B26" s="6" t="s">
        <v>15</v>
      </c>
      <c r="C26" s="25">
        <v>44.0</v>
      </c>
      <c r="D26" s="25">
        <v>2.0</v>
      </c>
      <c r="E26" s="8">
        <v>10.0</v>
      </c>
      <c r="F26" s="25">
        <v>38.0</v>
      </c>
      <c r="G26" s="26">
        <v>0.575</v>
      </c>
      <c r="H26" s="26">
        <v>0.61875</v>
      </c>
      <c r="I26" s="14">
        <f t="shared" si="3"/>
        <v>0.04375</v>
      </c>
      <c r="J26" s="26">
        <v>0.6256944444444444</v>
      </c>
      <c r="K26" s="26">
        <v>0.6493055555555556</v>
      </c>
      <c r="L26" s="14">
        <f t="shared" si="4"/>
        <v>0.02361111111</v>
      </c>
      <c r="M26" s="25">
        <v>51.0</v>
      </c>
    </row>
    <row r="27">
      <c r="A27" s="5">
        <v>45422.0</v>
      </c>
      <c r="B27" s="6" t="s">
        <v>15</v>
      </c>
      <c r="C27" s="25">
        <v>240.0</v>
      </c>
      <c r="D27" s="25">
        <v>2.0</v>
      </c>
      <c r="E27" s="9">
        <v>11.0</v>
      </c>
      <c r="F27" s="25">
        <v>39.0</v>
      </c>
      <c r="G27" s="26">
        <v>0.575</v>
      </c>
      <c r="H27" s="26">
        <v>0.61875</v>
      </c>
      <c r="I27" s="14">
        <f t="shared" si="3"/>
        <v>0.04375</v>
      </c>
      <c r="J27" s="26">
        <v>0.6256944444444444</v>
      </c>
      <c r="K27" s="26">
        <v>0.6493055555555556</v>
      </c>
      <c r="L27" s="14">
        <f t="shared" si="4"/>
        <v>0.02361111111</v>
      </c>
      <c r="M27" s="25">
        <v>52.0</v>
      </c>
    </row>
    <row r="28">
      <c r="A28" s="5">
        <v>45422.0</v>
      </c>
      <c r="B28" s="6" t="s">
        <v>15</v>
      </c>
      <c r="C28" s="25">
        <v>19.0</v>
      </c>
      <c r="D28" s="25">
        <v>2.0</v>
      </c>
      <c r="E28" s="9">
        <v>12.0</v>
      </c>
      <c r="F28" s="25">
        <v>40.0</v>
      </c>
      <c r="G28" s="26">
        <v>0.575</v>
      </c>
      <c r="H28" s="26">
        <v>0.61875</v>
      </c>
      <c r="I28" s="14">
        <f t="shared" si="3"/>
        <v>0.04375</v>
      </c>
      <c r="J28" s="26">
        <v>0.6256944444444444</v>
      </c>
      <c r="K28" s="26">
        <v>0.6493055555555556</v>
      </c>
      <c r="L28" s="14">
        <f t="shared" si="4"/>
        <v>0.02361111111</v>
      </c>
      <c r="M28" s="25">
        <v>53.0</v>
      </c>
    </row>
    <row r="29">
      <c r="A29" s="17">
        <v>45422.0</v>
      </c>
      <c r="B29" s="18" t="s">
        <v>15</v>
      </c>
      <c r="C29" s="27" t="s">
        <v>19</v>
      </c>
      <c r="D29" s="27">
        <v>2.0</v>
      </c>
      <c r="E29" s="19" t="s">
        <v>17</v>
      </c>
      <c r="F29" s="27">
        <v>41.0</v>
      </c>
      <c r="G29" s="27" t="s">
        <v>17</v>
      </c>
      <c r="H29" s="27" t="s">
        <v>17</v>
      </c>
      <c r="I29" s="27" t="s">
        <v>17</v>
      </c>
      <c r="J29" s="27" t="s">
        <v>17</v>
      </c>
      <c r="K29" s="27" t="s">
        <v>17</v>
      </c>
      <c r="L29" s="27" t="s">
        <v>17</v>
      </c>
      <c r="M29" s="27" t="s">
        <v>17</v>
      </c>
      <c r="N29" s="24"/>
      <c r="O29" s="24"/>
      <c r="P29" s="24"/>
      <c r="Q29" s="24"/>
      <c r="R29" s="24"/>
      <c r="S29" s="24"/>
      <c r="T29" s="24"/>
      <c r="U29" s="24"/>
      <c r="V29" s="24"/>
      <c r="W29" s="24"/>
    </row>
    <row r="30">
      <c r="A30" s="5">
        <v>45423.0</v>
      </c>
      <c r="B30" s="6" t="s">
        <v>15</v>
      </c>
      <c r="C30" s="25" t="s">
        <v>16</v>
      </c>
      <c r="D30" s="25">
        <v>3.0</v>
      </c>
      <c r="E30" s="7" t="s">
        <v>17</v>
      </c>
      <c r="F30" s="25">
        <v>54.0</v>
      </c>
      <c r="G30" s="25" t="s">
        <v>17</v>
      </c>
      <c r="H30" s="25" t="s">
        <v>17</v>
      </c>
      <c r="I30" s="25" t="s">
        <v>17</v>
      </c>
      <c r="J30" s="25" t="s">
        <v>17</v>
      </c>
      <c r="K30" s="25" t="s">
        <v>17</v>
      </c>
      <c r="L30" s="25" t="s">
        <v>17</v>
      </c>
      <c r="M30" s="25" t="s">
        <v>17</v>
      </c>
      <c r="N30" s="25">
        <v>24.4</v>
      </c>
      <c r="O30" s="25">
        <v>24.7</v>
      </c>
    </row>
    <row r="31">
      <c r="A31" s="5">
        <v>45423.0</v>
      </c>
      <c r="B31" s="6" t="s">
        <v>15</v>
      </c>
      <c r="C31" s="25">
        <v>237.0</v>
      </c>
      <c r="D31" s="25">
        <v>3.0</v>
      </c>
      <c r="E31" s="8">
        <v>1.0</v>
      </c>
      <c r="F31" s="25">
        <v>55.0</v>
      </c>
      <c r="G31" s="26">
        <v>0.37777777777777777</v>
      </c>
      <c r="H31" s="26">
        <v>0.4222222222222222</v>
      </c>
      <c r="I31" s="14">
        <f t="shared" ref="I31:I42" si="5">H31-G31</f>
        <v>0.04444444444</v>
      </c>
      <c r="J31" s="26">
        <v>0.43125</v>
      </c>
      <c r="K31" s="26">
        <v>0.45555555555555555</v>
      </c>
      <c r="L31" s="14">
        <f t="shared" ref="L31:L42" si="6">K31-J31</f>
        <v>0.02430555556</v>
      </c>
      <c r="M31" s="25">
        <v>10.0</v>
      </c>
    </row>
    <row r="32">
      <c r="A32" s="5">
        <v>45423.0</v>
      </c>
      <c r="B32" s="6" t="s">
        <v>15</v>
      </c>
      <c r="C32" s="25">
        <v>214.0</v>
      </c>
      <c r="D32" s="25">
        <v>3.0</v>
      </c>
      <c r="E32" s="8">
        <v>2.0</v>
      </c>
      <c r="F32" s="25">
        <v>56.0</v>
      </c>
      <c r="G32" s="26">
        <v>0.37777777777777777</v>
      </c>
      <c r="H32" s="26">
        <v>0.4222222222222222</v>
      </c>
      <c r="I32" s="14">
        <f t="shared" si="5"/>
        <v>0.04444444444</v>
      </c>
      <c r="J32" s="26">
        <v>0.43125</v>
      </c>
      <c r="K32" s="26">
        <v>0.45555555555555555</v>
      </c>
      <c r="L32" s="14">
        <f t="shared" si="6"/>
        <v>0.02430555556</v>
      </c>
      <c r="M32" s="25">
        <v>11.0</v>
      </c>
    </row>
    <row r="33">
      <c r="A33" s="5">
        <v>45423.0</v>
      </c>
      <c r="B33" s="6" t="s">
        <v>15</v>
      </c>
      <c r="C33" s="25">
        <v>42.0</v>
      </c>
      <c r="D33" s="25">
        <v>3.0</v>
      </c>
      <c r="E33" s="8">
        <v>3.0</v>
      </c>
      <c r="F33" s="25">
        <v>57.0</v>
      </c>
      <c r="G33" s="26">
        <v>0.37777777777777777</v>
      </c>
      <c r="H33" s="26">
        <v>0.4222222222222222</v>
      </c>
      <c r="I33" s="14">
        <f t="shared" si="5"/>
        <v>0.04444444444</v>
      </c>
      <c r="J33" s="26">
        <v>0.43125</v>
      </c>
      <c r="K33" s="26">
        <v>0.45555555555555555</v>
      </c>
      <c r="L33" s="14">
        <f t="shared" si="6"/>
        <v>0.02430555556</v>
      </c>
      <c r="M33" s="25">
        <v>12.0</v>
      </c>
    </row>
    <row r="34">
      <c r="A34" s="5">
        <v>45423.0</v>
      </c>
      <c r="B34" s="6" t="s">
        <v>15</v>
      </c>
      <c r="C34" s="25">
        <v>213.0</v>
      </c>
      <c r="D34" s="25">
        <v>3.0</v>
      </c>
      <c r="E34" s="8">
        <v>4.0</v>
      </c>
      <c r="F34" s="25">
        <v>58.0</v>
      </c>
      <c r="G34" s="26">
        <v>0.3784722222222222</v>
      </c>
      <c r="H34" s="26">
        <v>0.42291666666666666</v>
      </c>
      <c r="I34" s="14">
        <f t="shared" si="5"/>
        <v>0.04444444444</v>
      </c>
      <c r="J34" s="26">
        <v>0.43194444444444446</v>
      </c>
      <c r="K34" s="26">
        <v>0.45555555555555555</v>
      </c>
      <c r="L34" s="14">
        <f t="shared" si="6"/>
        <v>0.02361111111</v>
      </c>
      <c r="M34" s="25">
        <v>13.0</v>
      </c>
    </row>
    <row r="35">
      <c r="A35" s="5">
        <v>45423.0</v>
      </c>
      <c r="B35" s="6" t="s">
        <v>15</v>
      </c>
      <c r="C35" s="25" t="s">
        <v>18</v>
      </c>
      <c r="D35" s="25">
        <v>3.0</v>
      </c>
      <c r="E35" s="8">
        <v>5.0</v>
      </c>
      <c r="F35" s="25">
        <v>1.0</v>
      </c>
      <c r="G35" s="26">
        <v>0.3784722222222222</v>
      </c>
      <c r="H35" s="26">
        <v>0.42291666666666666</v>
      </c>
      <c r="I35" s="14">
        <f t="shared" si="5"/>
        <v>0.04444444444</v>
      </c>
      <c r="J35" s="26">
        <v>0.43194444444444446</v>
      </c>
      <c r="K35" s="26">
        <v>0.45625</v>
      </c>
      <c r="L35" s="14">
        <f t="shared" si="6"/>
        <v>0.02430555556</v>
      </c>
      <c r="M35" s="25">
        <v>14.0</v>
      </c>
    </row>
    <row r="36">
      <c r="A36" s="5">
        <v>45423.0</v>
      </c>
      <c r="B36" s="6" t="s">
        <v>15</v>
      </c>
      <c r="C36" s="25">
        <v>28.0</v>
      </c>
      <c r="D36" s="25">
        <v>3.0</v>
      </c>
      <c r="E36" s="8">
        <v>6.0</v>
      </c>
      <c r="F36" s="25">
        <v>2.0</v>
      </c>
      <c r="G36" s="26">
        <v>0.3784722222222222</v>
      </c>
      <c r="H36" s="26">
        <v>0.42291666666666666</v>
      </c>
      <c r="I36" s="14">
        <f t="shared" si="5"/>
        <v>0.04444444444</v>
      </c>
      <c r="J36" s="26">
        <v>0.43194444444444446</v>
      </c>
      <c r="K36" s="26">
        <v>0.45625</v>
      </c>
      <c r="L36" s="14">
        <f t="shared" si="6"/>
        <v>0.02430555556</v>
      </c>
      <c r="M36" s="25">
        <v>15.0</v>
      </c>
    </row>
    <row r="37">
      <c r="A37" s="5">
        <v>45423.0</v>
      </c>
      <c r="B37" s="6" t="s">
        <v>15</v>
      </c>
      <c r="C37" s="25">
        <v>238.0</v>
      </c>
      <c r="D37" s="25">
        <v>3.0</v>
      </c>
      <c r="E37" s="8">
        <v>7.0</v>
      </c>
      <c r="F37" s="25">
        <v>3.0</v>
      </c>
      <c r="G37" s="26">
        <v>0.3784722222222222</v>
      </c>
      <c r="H37" s="26">
        <v>0.42291666666666666</v>
      </c>
      <c r="I37" s="14">
        <f t="shared" si="5"/>
        <v>0.04444444444</v>
      </c>
      <c r="J37" s="26">
        <v>0.4326388888888889</v>
      </c>
      <c r="K37" s="26">
        <v>0.45625</v>
      </c>
      <c r="L37" s="14">
        <f t="shared" si="6"/>
        <v>0.02361111111</v>
      </c>
      <c r="M37" s="25">
        <v>16.0</v>
      </c>
    </row>
    <row r="38">
      <c r="A38" s="5">
        <v>45423.0</v>
      </c>
      <c r="B38" s="6" t="s">
        <v>15</v>
      </c>
      <c r="C38" s="25">
        <v>202.0</v>
      </c>
      <c r="D38" s="25">
        <v>3.0</v>
      </c>
      <c r="E38" s="8">
        <v>8.0</v>
      </c>
      <c r="F38" s="25">
        <v>4.0</v>
      </c>
      <c r="G38" s="26">
        <v>0.37916666666666665</v>
      </c>
      <c r="H38" s="26">
        <v>0.4236111111111111</v>
      </c>
      <c r="I38" s="14">
        <f t="shared" si="5"/>
        <v>0.04444444444</v>
      </c>
      <c r="J38" s="26">
        <v>0.4326388888888889</v>
      </c>
      <c r="K38" s="26">
        <v>0.45625</v>
      </c>
      <c r="L38" s="14">
        <f t="shared" si="6"/>
        <v>0.02361111111</v>
      </c>
      <c r="M38" s="25">
        <v>17.0</v>
      </c>
    </row>
    <row r="39">
      <c r="A39" s="5">
        <v>45423.0</v>
      </c>
      <c r="B39" s="6" t="s">
        <v>15</v>
      </c>
      <c r="C39" s="25">
        <v>221.0</v>
      </c>
      <c r="D39" s="25">
        <v>3.0</v>
      </c>
      <c r="E39" s="8">
        <v>9.0</v>
      </c>
      <c r="F39" s="25">
        <v>5.0</v>
      </c>
      <c r="G39" s="26">
        <v>0.37916666666666665</v>
      </c>
      <c r="H39" s="26">
        <v>0.4236111111111111</v>
      </c>
      <c r="I39" s="14">
        <f t="shared" si="5"/>
        <v>0.04444444444</v>
      </c>
      <c r="J39" s="26">
        <v>0.4326388888888889</v>
      </c>
      <c r="K39" s="26">
        <v>0.45694444444444443</v>
      </c>
      <c r="L39" s="14">
        <f t="shared" si="6"/>
        <v>0.02430555556</v>
      </c>
      <c r="M39" s="25">
        <v>18.0</v>
      </c>
    </row>
    <row r="40">
      <c r="A40" s="5">
        <v>45423.0</v>
      </c>
      <c r="B40" s="6" t="s">
        <v>15</v>
      </c>
      <c r="C40" s="25">
        <v>29.0</v>
      </c>
      <c r="D40" s="25">
        <v>3.0</v>
      </c>
      <c r="E40" s="8">
        <v>10.0</v>
      </c>
      <c r="F40" s="25">
        <v>6.0</v>
      </c>
      <c r="G40" s="26">
        <v>0.37916666666666665</v>
      </c>
      <c r="H40" s="26">
        <v>0.4236111111111111</v>
      </c>
      <c r="I40" s="14">
        <f t="shared" si="5"/>
        <v>0.04444444444</v>
      </c>
      <c r="J40" s="26">
        <v>0.43333333333333335</v>
      </c>
      <c r="K40" s="26">
        <v>0.45694444444444443</v>
      </c>
      <c r="L40" s="14">
        <f t="shared" si="6"/>
        <v>0.02361111111</v>
      </c>
      <c r="M40" s="25">
        <v>19.0</v>
      </c>
    </row>
    <row r="41">
      <c r="A41" s="5">
        <v>45423.0</v>
      </c>
      <c r="B41" s="6" t="s">
        <v>15</v>
      </c>
      <c r="C41" s="25">
        <v>201.0</v>
      </c>
      <c r="D41" s="25">
        <v>3.0</v>
      </c>
      <c r="E41" s="9">
        <v>11.0</v>
      </c>
      <c r="F41" s="25">
        <v>7.0</v>
      </c>
      <c r="G41" s="26">
        <v>0.3798611111111111</v>
      </c>
      <c r="H41" s="26">
        <v>0.42430555555555555</v>
      </c>
      <c r="I41" s="14">
        <f t="shared" si="5"/>
        <v>0.04444444444</v>
      </c>
      <c r="J41" s="26">
        <v>0.43333333333333335</v>
      </c>
      <c r="K41" s="26">
        <v>0.45694444444444443</v>
      </c>
      <c r="L41" s="14">
        <f t="shared" si="6"/>
        <v>0.02361111111</v>
      </c>
      <c r="M41" s="28">
        <v>60.0</v>
      </c>
    </row>
    <row r="42">
      <c r="A42" s="5">
        <v>45423.0</v>
      </c>
      <c r="B42" s="6" t="s">
        <v>15</v>
      </c>
      <c r="C42" s="25">
        <v>41.0</v>
      </c>
      <c r="D42" s="25">
        <v>3.0</v>
      </c>
      <c r="E42" s="9">
        <v>12.0</v>
      </c>
      <c r="F42" s="25">
        <v>8.0</v>
      </c>
      <c r="G42" s="26">
        <v>0.3798611111111111</v>
      </c>
      <c r="H42" s="26">
        <v>0.42430555555555555</v>
      </c>
      <c r="I42" s="14">
        <f t="shared" si="5"/>
        <v>0.04444444444</v>
      </c>
      <c r="J42" s="26">
        <v>0.43333333333333335</v>
      </c>
      <c r="K42" s="26">
        <v>0.45694444444444443</v>
      </c>
      <c r="L42" s="14">
        <f t="shared" si="6"/>
        <v>0.02361111111</v>
      </c>
      <c r="M42" s="28">
        <v>61.0</v>
      </c>
    </row>
    <row r="43">
      <c r="A43" s="17">
        <v>45423.0</v>
      </c>
      <c r="B43" s="18" t="s">
        <v>15</v>
      </c>
      <c r="C43" s="27" t="s">
        <v>19</v>
      </c>
      <c r="D43" s="27">
        <v>3.0</v>
      </c>
      <c r="E43" s="19" t="s">
        <v>17</v>
      </c>
      <c r="F43" s="27">
        <v>9.0</v>
      </c>
      <c r="G43" s="27" t="s">
        <v>17</v>
      </c>
      <c r="H43" s="27" t="s">
        <v>17</v>
      </c>
      <c r="I43" s="27" t="s">
        <v>17</v>
      </c>
      <c r="J43" s="27" t="s">
        <v>17</v>
      </c>
      <c r="K43" s="27" t="s">
        <v>17</v>
      </c>
      <c r="L43" s="27" t="s">
        <v>17</v>
      </c>
      <c r="M43" s="27" t="s">
        <v>17</v>
      </c>
      <c r="N43" s="24"/>
      <c r="O43" s="24"/>
      <c r="P43" s="24"/>
      <c r="Q43" s="24"/>
      <c r="R43" s="24"/>
      <c r="S43" s="24"/>
      <c r="T43" s="24"/>
      <c r="U43" s="24"/>
      <c r="V43" s="24"/>
      <c r="W43" s="24"/>
    </row>
    <row r="44">
      <c r="A44" s="5">
        <v>45423.0</v>
      </c>
      <c r="B44" s="6" t="s">
        <v>15</v>
      </c>
      <c r="C44" s="25" t="s">
        <v>16</v>
      </c>
      <c r="D44" s="25">
        <v>4.0</v>
      </c>
      <c r="E44" s="7" t="s">
        <v>17</v>
      </c>
      <c r="F44" s="25">
        <v>20.0</v>
      </c>
      <c r="G44" s="25" t="s">
        <v>17</v>
      </c>
      <c r="H44" s="25" t="s">
        <v>17</v>
      </c>
      <c r="I44" s="25" t="s">
        <v>17</v>
      </c>
      <c r="J44" s="25" t="s">
        <v>17</v>
      </c>
      <c r="K44" s="25" t="s">
        <v>17</v>
      </c>
      <c r="L44" s="25" t="s">
        <v>17</v>
      </c>
      <c r="M44" s="25" t="s">
        <v>17</v>
      </c>
      <c r="N44" s="25">
        <v>24.7</v>
      </c>
      <c r="O44" s="25">
        <v>25.0</v>
      </c>
      <c r="P44" s="25">
        <v>25.6</v>
      </c>
      <c r="Q44" s="25" t="s">
        <v>20</v>
      </c>
    </row>
    <row r="45">
      <c r="A45" s="5">
        <v>45423.0</v>
      </c>
      <c r="B45" s="6" t="s">
        <v>15</v>
      </c>
      <c r="C45" s="25">
        <v>27.0</v>
      </c>
      <c r="D45" s="25">
        <v>4.0</v>
      </c>
      <c r="E45" s="8">
        <v>1.0</v>
      </c>
      <c r="F45" s="25">
        <v>22.0</v>
      </c>
      <c r="G45" s="26">
        <v>0.4895833333333333</v>
      </c>
      <c r="H45" s="26">
        <v>0.5381944444444444</v>
      </c>
      <c r="I45" s="14">
        <f t="shared" ref="I45:I57" si="7">H45-G45</f>
        <v>0.04861111111</v>
      </c>
      <c r="J45" s="26">
        <v>0.5472222222222223</v>
      </c>
      <c r="K45" s="26">
        <v>0.5729166666666666</v>
      </c>
      <c r="L45" s="14">
        <f t="shared" ref="L45:L57" si="8">K45-J45</f>
        <v>0.02569444444</v>
      </c>
      <c r="M45" s="25">
        <v>35.0</v>
      </c>
    </row>
    <row r="46">
      <c r="A46" s="5">
        <v>45423.0</v>
      </c>
      <c r="B46" s="6" t="s">
        <v>15</v>
      </c>
      <c r="C46" s="25">
        <v>26.0</v>
      </c>
      <c r="D46" s="25">
        <v>4.0</v>
      </c>
      <c r="E46" s="8">
        <v>2.0</v>
      </c>
      <c r="F46" s="25">
        <v>23.0</v>
      </c>
      <c r="G46" s="26">
        <v>0.4895833333333333</v>
      </c>
      <c r="H46" s="26">
        <v>0.5381944444444444</v>
      </c>
      <c r="I46" s="14">
        <f t="shared" si="7"/>
        <v>0.04861111111</v>
      </c>
      <c r="J46" s="26">
        <v>0.5472222222222223</v>
      </c>
      <c r="K46" s="26">
        <v>0.5729166666666666</v>
      </c>
      <c r="L46" s="14">
        <f t="shared" si="8"/>
        <v>0.02569444444</v>
      </c>
      <c r="M46" s="25">
        <v>36.0</v>
      </c>
    </row>
    <row r="47">
      <c r="A47" s="5">
        <v>45423.0</v>
      </c>
      <c r="B47" s="6" t="s">
        <v>15</v>
      </c>
      <c r="C47" s="25">
        <v>247.0</v>
      </c>
      <c r="D47" s="25">
        <v>4.0</v>
      </c>
      <c r="E47" s="8">
        <v>3.0</v>
      </c>
      <c r="F47" s="25">
        <v>24.0</v>
      </c>
      <c r="G47" s="26">
        <v>0.4895833333333333</v>
      </c>
      <c r="H47" s="26">
        <v>0.5381944444444444</v>
      </c>
      <c r="I47" s="14">
        <f t="shared" si="7"/>
        <v>0.04861111111</v>
      </c>
      <c r="J47" s="26">
        <v>0.5472222222222223</v>
      </c>
      <c r="K47" s="26">
        <v>0.5729166666666666</v>
      </c>
      <c r="L47" s="14">
        <f t="shared" si="8"/>
        <v>0.02569444444</v>
      </c>
      <c r="M47" s="25">
        <v>37.0</v>
      </c>
    </row>
    <row r="48">
      <c r="A48" s="5">
        <v>45423.0</v>
      </c>
      <c r="B48" s="6" t="s">
        <v>15</v>
      </c>
      <c r="C48" s="25">
        <v>219.0</v>
      </c>
      <c r="D48" s="25">
        <v>4.0</v>
      </c>
      <c r="E48" s="8">
        <v>4.0</v>
      </c>
      <c r="F48" s="25">
        <v>25.0</v>
      </c>
      <c r="G48" s="26">
        <v>0.49027777777777776</v>
      </c>
      <c r="H48" s="26">
        <v>0.5381944444444444</v>
      </c>
      <c r="I48" s="14">
        <f t="shared" si="7"/>
        <v>0.04791666667</v>
      </c>
      <c r="J48" s="26">
        <v>0.5472222222222223</v>
      </c>
      <c r="K48" s="26">
        <v>0.5729166666666666</v>
      </c>
      <c r="L48" s="14">
        <f t="shared" si="8"/>
        <v>0.02569444444</v>
      </c>
      <c r="M48" s="25">
        <v>38.0</v>
      </c>
    </row>
    <row r="49">
      <c r="A49" s="5">
        <v>45423.0</v>
      </c>
      <c r="B49" s="6" t="s">
        <v>15</v>
      </c>
      <c r="C49" s="25">
        <v>235.0</v>
      </c>
      <c r="D49" s="25">
        <v>4.0</v>
      </c>
      <c r="E49" s="8">
        <v>5.0</v>
      </c>
      <c r="F49" s="25">
        <v>26.0</v>
      </c>
      <c r="G49" s="26">
        <v>0.49027777777777776</v>
      </c>
      <c r="H49" s="26">
        <v>0.5388888888888889</v>
      </c>
      <c r="I49" s="14">
        <f t="shared" si="7"/>
        <v>0.04861111111</v>
      </c>
      <c r="J49" s="26">
        <v>0.5479166666666667</v>
      </c>
      <c r="K49" s="26">
        <v>0.5729166666666666</v>
      </c>
      <c r="L49" s="14">
        <f t="shared" si="8"/>
        <v>0.025</v>
      </c>
      <c r="M49" s="25" t="s">
        <v>21</v>
      </c>
    </row>
    <row r="50">
      <c r="A50" s="5">
        <v>45423.0</v>
      </c>
      <c r="B50" s="6" t="s">
        <v>15</v>
      </c>
      <c r="C50" s="25">
        <v>204.0</v>
      </c>
      <c r="D50" s="25">
        <v>4.0</v>
      </c>
      <c r="E50" s="8">
        <v>6.0</v>
      </c>
      <c r="F50" s="25">
        <v>27.0</v>
      </c>
      <c r="G50" s="26">
        <v>0.49027777777777776</v>
      </c>
      <c r="H50" s="26">
        <v>0.5388888888888889</v>
      </c>
      <c r="I50" s="14">
        <f t="shared" si="7"/>
        <v>0.04861111111</v>
      </c>
      <c r="J50" s="26">
        <v>0.5479166666666667</v>
      </c>
      <c r="K50" s="26">
        <v>0.5729166666666666</v>
      </c>
      <c r="L50" s="14">
        <f t="shared" si="8"/>
        <v>0.025</v>
      </c>
      <c r="M50" s="25" t="s">
        <v>22</v>
      </c>
    </row>
    <row r="51">
      <c r="A51" s="5">
        <v>45423.0</v>
      </c>
      <c r="B51" s="6" t="s">
        <v>15</v>
      </c>
      <c r="C51" s="25">
        <v>233.0</v>
      </c>
      <c r="D51" s="25">
        <v>4.0</v>
      </c>
      <c r="E51" s="8">
        <v>7.0</v>
      </c>
      <c r="F51" s="25">
        <v>28.0</v>
      </c>
      <c r="G51" s="26">
        <v>0.4909722222222222</v>
      </c>
      <c r="H51" s="26">
        <v>0.5388888888888889</v>
      </c>
      <c r="I51" s="14">
        <f t="shared" si="7"/>
        <v>0.04791666667</v>
      </c>
      <c r="J51" s="26">
        <v>0.5479166666666667</v>
      </c>
      <c r="K51" s="26">
        <v>0.5736111111111111</v>
      </c>
      <c r="L51" s="14">
        <f t="shared" si="8"/>
        <v>0.02569444444</v>
      </c>
      <c r="M51" s="25" t="s">
        <v>23</v>
      </c>
    </row>
    <row r="52">
      <c r="A52" s="5">
        <v>45423.0</v>
      </c>
      <c r="B52" s="6" t="s">
        <v>15</v>
      </c>
      <c r="C52" s="25">
        <v>248.0</v>
      </c>
      <c r="D52" s="25">
        <v>4.0</v>
      </c>
      <c r="E52" s="8">
        <v>8.0</v>
      </c>
      <c r="F52" s="25">
        <v>29.0</v>
      </c>
      <c r="G52" s="26">
        <v>0.4909722222222222</v>
      </c>
      <c r="H52" s="26">
        <v>0.5388888888888889</v>
      </c>
      <c r="I52" s="14">
        <f t="shared" si="7"/>
        <v>0.04791666667</v>
      </c>
      <c r="J52" s="26">
        <v>0.5479166666666667</v>
      </c>
      <c r="K52" s="26">
        <v>0.5736111111111111</v>
      </c>
      <c r="L52" s="14">
        <f t="shared" si="8"/>
        <v>0.02569444444</v>
      </c>
      <c r="M52" s="25" t="s">
        <v>24</v>
      </c>
    </row>
    <row r="53">
      <c r="A53" s="5">
        <v>45423.0</v>
      </c>
      <c r="B53" s="6" t="s">
        <v>15</v>
      </c>
      <c r="C53" s="25">
        <v>236.0</v>
      </c>
      <c r="D53" s="25">
        <v>4.0</v>
      </c>
      <c r="E53" s="8">
        <v>9.0</v>
      </c>
      <c r="F53" s="25">
        <v>30.0</v>
      </c>
      <c r="G53" s="26">
        <v>0.49166666666666664</v>
      </c>
      <c r="H53" s="26">
        <v>0.5388888888888889</v>
      </c>
      <c r="I53" s="14">
        <f t="shared" si="7"/>
        <v>0.04722222222</v>
      </c>
      <c r="J53" s="26">
        <v>0.5479166666666667</v>
      </c>
      <c r="K53" s="26">
        <v>0.5736111111111111</v>
      </c>
      <c r="L53" s="14">
        <f t="shared" si="8"/>
        <v>0.02569444444</v>
      </c>
      <c r="M53" s="25" t="s">
        <v>25</v>
      </c>
    </row>
    <row r="54">
      <c r="A54" s="5">
        <v>45423.0</v>
      </c>
      <c r="B54" s="6" t="s">
        <v>15</v>
      </c>
      <c r="C54" s="25">
        <v>234.0</v>
      </c>
      <c r="D54" s="25">
        <v>4.0</v>
      </c>
      <c r="E54" s="8">
        <v>10.0</v>
      </c>
      <c r="F54" s="25">
        <v>31.0</v>
      </c>
      <c r="G54" s="26">
        <v>0.49166666666666664</v>
      </c>
      <c r="H54" s="26">
        <v>0.5395833333333333</v>
      </c>
      <c r="I54" s="14">
        <f t="shared" si="7"/>
        <v>0.04791666667</v>
      </c>
      <c r="J54" s="26">
        <v>0.5486111111111112</v>
      </c>
      <c r="K54" s="26">
        <v>0.5736111111111111</v>
      </c>
      <c r="L54" s="14">
        <f t="shared" si="8"/>
        <v>0.025</v>
      </c>
      <c r="M54" s="25" t="s">
        <v>26</v>
      </c>
    </row>
    <row r="55">
      <c r="A55" s="5">
        <v>45423.0</v>
      </c>
      <c r="B55" s="6" t="s">
        <v>15</v>
      </c>
      <c r="C55" s="25">
        <v>220.0</v>
      </c>
      <c r="D55" s="25">
        <v>4.0</v>
      </c>
      <c r="E55" s="9">
        <v>11.0</v>
      </c>
      <c r="F55" s="25">
        <v>32.0</v>
      </c>
      <c r="G55" s="26">
        <v>0.49236111111111114</v>
      </c>
      <c r="H55" s="26">
        <v>0.5395833333333333</v>
      </c>
      <c r="I55" s="14">
        <f t="shared" si="7"/>
        <v>0.04722222222</v>
      </c>
      <c r="J55" s="26">
        <v>0.5486111111111112</v>
      </c>
      <c r="K55" s="26">
        <v>0.5736111111111111</v>
      </c>
      <c r="L55" s="14">
        <f t="shared" si="8"/>
        <v>0.025</v>
      </c>
      <c r="M55" s="25" t="s">
        <v>27</v>
      </c>
    </row>
    <row r="56">
      <c r="A56" s="5">
        <v>45423.0</v>
      </c>
      <c r="B56" s="6" t="s">
        <v>15</v>
      </c>
      <c r="C56" s="25">
        <v>203.0</v>
      </c>
      <c r="D56" s="25">
        <v>4.0</v>
      </c>
      <c r="E56" s="9">
        <v>12.0</v>
      </c>
      <c r="F56" s="25">
        <v>34.0</v>
      </c>
      <c r="G56" s="26">
        <v>0.49236111111111114</v>
      </c>
      <c r="H56" s="26">
        <v>0.5395833333333333</v>
      </c>
      <c r="I56" s="14">
        <f t="shared" si="7"/>
        <v>0.04722222222</v>
      </c>
      <c r="J56" s="26">
        <v>0.5486111111111112</v>
      </c>
      <c r="K56" s="26">
        <v>0.5736111111111111</v>
      </c>
      <c r="L56" s="14">
        <f t="shared" si="8"/>
        <v>0.025</v>
      </c>
      <c r="M56" s="25" t="s">
        <v>28</v>
      </c>
    </row>
    <row r="57">
      <c r="A57" s="5">
        <v>45423.0</v>
      </c>
      <c r="B57" s="6" t="s">
        <v>15</v>
      </c>
      <c r="C57" s="25" t="s">
        <v>18</v>
      </c>
      <c r="D57" s="25">
        <v>4.0</v>
      </c>
      <c r="E57" s="6" t="s">
        <v>17</v>
      </c>
      <c r="F57" s="25">
        <v>21.0</v>
      </c>
      <c r="G57" s="26">
        <v>0.49236111111111114</v>
      </c>
      <c r="H57" s="26">
        <v>0.5395833333333333</v>
      </c>
      <c r="I57" s="14">
        <f t="shared" si="7"/>
        <v>0.04722222222</v>
      </c>
      <c r="J57" s="26">
        <v>0.5486111111111112</v>
      </c>
      <c r="K57" s="26">
        <v>0.5736111111111111</v>
      </c>
      <c r="L57" s="14">
        <f t="shared" si="8"/>
        <v>0.025</v>
      </c>
      <c r="M57" s="25" t="s">
        <v>29</v>
      </c>
    </row>
    <row r="58">
      <c r="A58" s="17">
        <v>45423.0</v>
      </c>
      <c r="B58" s="18" t="s">
        <v>15</v>
      </c>
      <c r="C58" s="27" t="s">
        <v>19</v>
      </c>
      <c r="D58" s="27">
        <v>4.0</v>
      </c>
      <c r="E58" s="19" t="s">
        <v>17</v>
      </c>
      <c r="F58" s="27" t="s">
        <v>17</v>
      </c>
      <c r="G58" s="27" t="s">
        <v>17</v>
      </c>
      <c r="H58" s="27" t="s">
        <v>17</v>
      </c>
      <c r="I58" s="27" t="s">
        <v>17</v>
      </c>
      <c r="J58" s="27" t="s">
        <v>17</v>
      </c>
      <c r="K58" s="27" t="s">
        <v>17</v>
      </c>
      <c r="L58" s="27" t="s">
        <v>17</v>
      </c>
      <c r="M58" s="27" t="s">
        <v>30</v>
      </c>
      <c r="N58" s="24"/>
      <c r="O58" s="24"/>
      <c r="P58" s="24"/>
      <c r="Q58" s="24"/>
      <c r="R58" s="24"/>
      <c r="S58" s="24"/>
      <c r="T58" s="24"/>
      <c r="U58" s="24"/>
      <c r="V58" s="24"/>
      <c r="W58" s="24"/>
    </row>
  </sheetData>
  <drawing r:id="rId1"/>
</worksheet>
</file>